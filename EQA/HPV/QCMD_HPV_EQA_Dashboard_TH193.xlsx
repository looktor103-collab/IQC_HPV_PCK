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7.xml" ContentType="application/vnd.openxmlformats-officedocument.drawingml.chart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style6.xml" ContentType="application/vnd.ms-office.chartstyle+xml"/>
  <Override PartName="/xl/charts/style1.xml" ContentType="application/vnd.ms-office.chartstyle+xml"/>
  <Override PartName="/xl/charts/chart1.xml" ContentType="application/vnd.openxmlformats-officedocument.drawingml.chart+xml"/>
  <Override PartName="/xl/charts/colors6.xml" ContentType="application/vnd.ms-office.chartcolorstyle+xml"/>
  <Override PartName="/xl/charts/colors5.xml" ContentType="application/vnd.ms-office.chartcolorstyle+xml"/>
  <Override PartName="/xl/charts/style5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olors7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2024" sheetId="2" state="visible" r:id="rId4"/>
    <sheet name="2025" sheetId="3" state="visible" r:id="rId5"/>
    <sheet name="2026" sheetId="4" state="visible" r:id="rId6"/>
    <sheet name="Genotype Analysis" sheetId="5" state="visible" r:id="rId7"/>
    <sheet name="Raw Dat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<sst xmlns="http://schemas.openxmlformats.org/spreadsheetml/2006/main" count="861" uniqueCount="201">
  <si>
    <t xml:space="preserve">🔬   QCMD HPV EQA Performance Dashboard</t>
  </si>
  <si>
    <t xml:space="preserve">QCMD HPV PreservCyt (QAV094130)  │  Laboratory TH193 - Thailand  │  Roche Cobas HPV (v4)  │  Cobas 5800/6800/8800  │  Reporting Period: 2024–2026</t>
  </si>
  <si>
    <t xml:space="preserve">  KEY PERFORMANCE INDICATORS</t>
  </si>
  <si>
    <t xml:space="preserve">5</t>
  </si>
  <si>
    <t xml:space="preserve">5/5</t>
  </si>
  <si>
    <t xml:space="preserve">100%</t>
  </si>
  <si>
    <t xml:space="preserve">Challenges
Completed</t>
  </si>
  <si>
    <t xml:space="preserve">PASS
All Challenges</t>
  </si>
  <si>
    <t xml:space="preserve">Sensitivity
(All Samples)</t>
  </si>
  <si>
    <t xml:space="preserve">Specificity
(All Samples)</t>
  </si>
  <si>
    <t xml:space="preserve">30
Total Samples Tested</t>
  </si>
  <si>
    <t xml:space="preserve">29
CORE Samples</t>
  </si>
  <si>
    <t xml:space="preserve">1
Educational Sample</t>
  </si>
  <si>
    <t xml:space="preserve">98.4%
Avg Peer % Correct (CORE)</t>
  </si>
  <si>
    <t xml:space="preserve">  ANNUAL PERFORMANCE SUMMARY — Challenge-by-Challenge</t>
  </si>
  <si>
    <t xml:space="preserve">Year</t>
  </si>
  <si>
    <t xml:space="preserve">Challenge</t>
  </si>
  <si>
    <t xml:space="preserve">Date</t>
  </si>
  <si>
    <t xml:space="preserve">Datasets</t>
  </si>
  <si>
    <t xml:space="preserve">Core Score</t>
  </si>
  <si>
    <t xml:space="preserve">EQA Result</t>
  </si>
  <si>
    <t xml:space="preserve">Sensitivity</t>
  </si>
  <si>
    <t xml:space="preserve">Specificity</t>
  </si>
  <si>
    <t xml:space="preserve">Avg Peer %</t>
  </si>
  <si>
    <t xml:space="preserve">C1</t>
  </si>
  <si>
    <t xml:space="preserve">May 2024</t>
  </si>
  <si>
    <t xml:space="preserve">Score: 0  ✓</t>
  </si>
  <si>
    <t xml:space="preserve">✅  PASS</t>
  </si>
  <si>
    <t xml:space="preserve">100.0%</t>
  </si>
  <si>
    <t xml:space="preserve">99.1%</t>
  </si>
  <si>
    <t xml:space="preserve">C2</t>
  </si>
  <si>
    <t xml:space="preserve">Oct 2024</t>
  </si>
  <si>
    <t xml:space="preserve">98.5%</t>
  </si>
  <si>
    <t xml:space="preserve">May 2025</t>
  </si>
  <si>
    <t xml:space="preserve">Oct 2025</t>
  </si>
  <si>
    <t xml:space="preserve">98.7%</t>
  </si>
  <si>
    <t xml:space="preserve">May 2026</t>
  </si>
  <si>
    <t xml:space="preserve">98.2%</t>
  </si>
  <si>
    <t xml:space="preserve">  QUICK NAVIGATION — Click to jump to detailed reports</t>
  </si>
  <si>
    <t xml:space="preserve">→  2024 Detailed Results</t>
  </si>
  <si>
    <t xml:space="preserve">→  2025 Detailed Results</t>
  </si>
  <si>
    <t xml:space="preserve">→  2026 Detailed Results</t>
  </si>
  <si>
    <t xml:space="preserve">→  Genotype Analysis</t>
  </si>
  <si>
    <t xml:space="preserve">Avg Peer % (CORE)</t>
  </si>
  <si>
    <t xml:space="preserve">TH193 (100%)</t>
  </si>
  <si>
    <t xml:space="preserve">2024 C1</t>
  </si>
  <si>
    <t xml:space="preserve">2024 C2</t>
  </si>
  <si>
    <t xml:space="preserve">2025 C1</t>
  </si>
  <si>
    <t xml:space="preserve">2025 C2</t>
  </si>
  <si>
    <t xml:space="preserve">2026 C1</t>
  </si>
  <si>
    <t xml:space="preserve">🗓  2024 EQA Results — Laboratory TH193</t>
  </si>
  <si>
    <t xml:space="preserve">QCMD HPV PreservCyt │ QAV094130 │ Roche Cobas HPV (v4) │ Cobas 5800/6800/8800</t>
  </si>
  <si>
    <t xml:space="preserve">← Dashboard</t>
  </si>
  <si>
    <t xml:space="preserve">  Challenge C1  ─  May 2024</t>
  </si>
  <si>
    <t xml:space="preserve">Datasets: 191</t>
  </si>
  <si>
    <t xml:space="preserve">Participants: 178</t>
  </si>
  <si>
    <t xml:space="preserve">Countries: 30</t>
  </si>
  <si>
    <t xml:space="preserve">Core Score: 0 (Highly Satisfactory)</t>
  </si>
  <si>
    <t xml:space="preserve">Sensitivity: 100.0%  (TP=5/5)</t>
  </si>
  <si>
    <t xml:space="preserve">Specificity: 100.0%  (TN=1/1)</t>
  </si>
  <si>
    <t xml:space="preserve">EQA Result: ✅ PASS</t>
  </si>
  <si>
    <t xml:space="preserve">Avg Peer %: 99.1%</t>
  </si>
  <si>
    <t xml:space="preserve">Sample</t>
  </si>
  <si>
    <t xml:space="preserve">Content</t>
  </si>
  <si>
    <t xml:space="preserve">HPV Type</t>
  </si>
  <si>
    <t xml:space="preserve">Status</t>
  </si>
  <si>
    <t xml:space="preserve">Expected</t>
  </si>
  <si>
    <t xml:space="preserve">TH193 Result</t>
  </si>
  <si>
    <t xml:space="preserve">Det. Score</t>
  </si>
  <si>
    <t xml:space="preserve">CT Value</t>
  </si>
  <si>
    <t xml:space="preserve">Peer % Correct</t>
  </si>
  <si>
    <t xml:space="preserve">HPVPRES24C1-01</t>
  </si>
  <si>
    <t xml:space="preserve">HPV18 (Hela)</t>
  </si>
  <si>
    <t xml:space="preserve">HPV18</t>
  </si>
  <si>
    <t xml:space="preserve">CORE</t>
  </si>
  <si>
    <t xml:space="preserve">Positive</t>
  </si>
  <si>
    <t xml:space="preserve">29.70</t>
  </si>
  <si>
    <t xml:space="preserve">99.0%</t>
  </si>
  <si>
    <t xml:space="preserve">HPVPRES24C1-02</t>
  </si>
  <si>
    <t xml:space="preserve">HPV16 (Caski)</t>
  </si>
  <si>
    <t xml:space="preserve">HPV16</t>
  </si>
  <si>
    <t xml:space="preserve">26.44</t>
  </si>
  <si>
    <t xml:space="preserve">99.5%</t>
  </si>
  <si>
    <t xml:space="preserve">HPVPRES24C1-03</t>
  </si>
  <si>
    <t xml:space="preserve">26.53</t>
  </si>
  <si>
    <t xml:space="preserve">HPVPRES24C1-04</t>
  </si>
  <si>
    <t xml:space="preserve">23.51</t>
  </si>
  <si>
    <t xml:space="preserve">HPVPRES24C1-05</t>
  </si>
  <si>
    <t xml:space="preserve">EDUCATIONAL</t>
  </si>
  <si>
    <t xml:space="preserve">31.05</t>
  </si>
  <si>
    <t xml:space="preserve">84.8%</t>
  </si>
  <si>
    <t xml:space="preserve">HPVPRES24C1-06</t>
  </si>
  <si>
    <t xml:space="preserve">Negative</t>
  </si>
  <si>
    <t xml:space="preserve">—</t>
  </si>
  <si>
    <t xml:space="preserve">  Challenge C2  ─  Oct 2024</t>
  </si>
  <si>
    <t xml:space="preserve">Datasets: 196</t>
  </si>
  <si>
    <t xml:space="preserve">Participants: 180</t>
  </si>
  <si>
    <t xml:space="preserve">Avg Peer %: 98.5%</t>
  </si>
  <si>
    <t xml:space="preserve">HPVPRES24C2-01</t>
  </si>
  <si>
    <t xml:space="preserve">25.49</t>
  </si>
  <si>
    <t xml:space="preserve">HPVPRES24C2-02</t>
  </si>
  <si>
    <t xml:space="preserve">HPV45 (CC10b)</t>
  </si>
  <si>
    <t xml:space="preserve">HPV45</t>
  </si>
  <si>
    <t xml:space="preserve">26.63</t>
  </si>
  <si>
    <t xml:space="preserve">HPVPRES24C2-03</t>
  </si>
  <si>
    <t xml:space="preserve">98.0%</t>
  </si>
  <si>
    <t xml:space="preserve">HPVPRES24C2-04</t>
  </si>
  <si>
    <t xml:space="preserve">26.54</t>
  </si>
  <si>
    <t xml:space="preserve">HPVPRES24C2-05</t>
  </si>
  <si>
    <t xml:space="preserve">26.75</t>
  </si>
  <si>
    <t xml:space="preserve">HPVPRES24C2-06</t>
  </si>
  <si>
    <t xml:space="preserve">HPV16+HPV18</t>
  </si>
  <si>
    <t xml:space="preserve">HPV16+18</t>
  </si>
  <si>
    <t xml:space="preserve">27.16</t>
  </si>
  <si>
    <t xml:space="preserve">Peer %</t>
  </si>
  <si>
    <t xml:space="preserve">S01</t>
  </si>
  <si>
    <t xml:space="preserve">S02</t>
  </si>
  <si>
    <t xml:space="preserve">S03</t>
  </si>
  <si>
    <t xml:space="preserve">S04</t>
  </si>
  <si>
    <t xml:space="preserve">S05</t>
  </si>
  <si>
    <t xml:space="preserve">S06</t>
  </si>
  <si>
    <t xml:space="preserve">🗓  2025 EQA Results — Laboratory TH193</t>
  </si>
  <si>
    <t xml:space="preserve">  Challenge C1  ─  May 2025</t>
  </si>
  <si>
    <t xml:space="preserve">Datasets: 256</t>
  </si>
  <si>
    <t xml:space="preserve">Participants: 225</t>
  </si>
  <si>
    <t xml:space="preserve">Countries: 29</t>
  </si>
  <si>
    <t xml:space="preserve">HPVPRES25C1-01</t>
  </si>
  <si>
    <t xml:space="preserve">27.26</t>
  </si>
  <si>
    <t xml:space="preserve">HPVPRES25C1-02</t>
  </si>
  <si>
    <t xml:space="preserve">27.37</t>
  </si>
  <si>
    <t xml:space="preserve">98.8%</t>
  </si>
  <si>
    <t xml:space="preserve">HPVPRES25C1-03</t>
  </si>
  <si>
    <t xml:space="preserve">23.43</t>
  </si>
  <si>
    <t xml:space="preserve">99.6%</t>
  </si>
  <si>
    <t xml:space="preserve">HPVPRES25C1-04</t>
  </si>
  <si>
    <t xml:space="preserve">27.21</t>
  </si>
  <si>
    <t xml:space="preserve">HPVPRES25C1-05</t>
  </si>
  <si>
    <t xml:space="preserve">HPVPRES25C1-06</t>
  </si>
  <si>
    <t xml:space="preserve">HPV18 low (Hela)</t>
  </si>
  <si>
    <t xml:space="preserve">30.15</t>
  </si>
  <si>
    <t xml:space="preserve">94.9%</t>
  </si>
  <si>
    <t xml:space="preserve">  Challenge C2  ─  Oct 2025</t>
  </si>
  <si>
    <t xml:space="preserve">Datasets: 253</t>
  </si>
  <si>
    <t xml:space="preserve">Avg Peer %: 98.7%</t>
  </si>
  <si>
    <t xml:space="preserve">HPVPRES25C2-01</t>
  </si>
  <si>
    <t xml:space="preserve">25.39</t>
  </si>
  <si>
    <t xml:space="preserve">99.2%</t>
  </si>
  <si>
    <t xml:space="preserve">HPVPRES25C2-02</t>
  </si>
  <si>
    <t xml:space="preserve">27.70</t>
  </si>
  <si>
    <t xml:space="preserve">98.4%</t>
  </si>
  <si>
    <t xml:space="preserve">HPVPRES25C2-03</t>
  </si>
  <si>
    <t xml:space="preserve">26.48</t>
  </si>
  <si>
    <t xml:space="preserve">HPVPRES25C2-04</t>
  </si>
  <si>
    <t xml:space="preserve">HPVPRES25C2-05</t>
  </si>
  <si>
    <t xml:space="preserve">27.55</t>
  </si>
  <si>
    <t xml:space="preserve">HPVPRES25C2-06</t>
  </si>
  <si>
    <t xml:space="preserve">24.91</t>
  </si>
  <si>
    <t xml:space="preserve">🗓  2026 EQA Results — Laboratory TH193</t>
  </si>
  <si>
    <t xml:space="preserve">  Challenge C1  ─  May 2026</t>
  </si>
  <si>
    <t xml:space="preserve">Datasets: 225</t>
  </si>
  <si>
    <t xml:space="preserve">Participants: 195</t>
  </si>
  <si>
    <t xml:space="preserve">Countries: 31</t>
  </si>
  <si>
    <t xml:space="preserve">Avg Peer %: 98.2%</t>
  </si>
  <si>
    <t xml:space="preserve">HPVPRES26C1-01</t>
  </si>
  <si>
    <t xml:space="preserve">28.41</t>
  </si>
  <si>
    <t xml:space="preserve">96.9%</t>
  </si>
  <si>
    <t xml:space="preserve">HPVPRES26C1-02</t>
  </si>
  <si>
    <t xml:space="preserve">25.63</t>
  </si>
  <si>
    <t xml:space="preserve">HPVPRES26C1-03</t>
  </si>
  <si>
    <t xml:space="preserve">26.16</t>
  </si>
  <si>
    <t xml:space="preserve">HPVPRES26C1-04</t>
  </si>
  <si>
    <t xml:space="preserve">26.64</t>
  </si>
  <si>
    <t xml:space="preserve">HPVPRES26C1-05</t>
  </si>
  <si>
    <t xml:space="preserve">29.99</t>
  </si>
  <si>
    <t xml:space="preserve">97.3%</t>
  </si>
  <si>
    <t xml:space="preserve">HPVPRES26C1-06</t>
  </si>
  <si>
    <t xml:space="preserve">🧬  HPV Genotype Analysis — Laboratory TH193</t>
  </si>
  <si>
    <t xml:space="preserve">Breakdown of HPV genotypes across all EQA challenges  |  2024–2026</t>
  </si>
  <si>
    <t xml:space="preserve">  GENOTYPE FREQUENCY — All Challenges (2024–2026)</t>
  </si>
  <si>
    <t xml:space="preserve">Samples (All)</t>
  </si>
  <si>
    <t xml:space="preserve">Avg CT</t>
  </si>
  <si>
    <t xml:space="preserve">Min CT</t>
  </si>
  <si>
    <t xml:space="preserve">Max CT</t>
  </si>
  <si>
    <t xml:space="preserve">27.09</t>
  </si>
  <si>
    <t xml:space="preserve">26.74</t>
  </si>
  <si>
    <t xml:space="preserve">98.3%</t>
  </si>
  <si>
    <t xml:space="preserve">27.01</t>
  </si>
  <si>
    <t xml:space="preserve">98.6%</t>
  </si>
  <si>
    <t xml:space="preserve">  GENOTYPE × CHALLENGE MATRIX — Sample count per challenge</t>
  </si>
  <si>
    <t xml:space="preserve">Total</t>
  </si>
  <si>
    <t xml:space="preserve">N/A</t>
  </si>
  <si>
    <t xml:space="preserve">  SENSITIVITY &amp; SPECIFICITY ANALYSIS — By Challenge</t>
  </si>
  <si>
    <t xml:space="preserve">Month</t>
  </si>
  <si>
    <t xml:space="preserve">True Positive</t>
  </si>
  <si>
    <t xml:space="preserve">False Negative</t>
  </si>
  <si>
    <t xml:space="preserve">True Negative</t>
  </si>
  <si>
    <t xml:space="preserve">False Positive</t>
  </si>
  <si>
    <t xml:space="preserve">Genotype</t>
  </si>
  <si>
    <t xml:space="preserve"># Samples</t>
  </si>
  <si>
    <t xml:space="preserve">📋  Raw Sample Data — All Challenges 2024–2026  |  Laboratory TH193</t>
  </si>
  <si>
    <t xml:space="preserve">Sample Code</t>
  </si>
</sst>
</file>

<file path=xl/styles.xml><?xml version="1.0" encoding="utf-8"?>
<styleSheet xmlns="http://schemas.openxmlformats.org/spreadsheetml/2006/main">
  <numFmts count="1">
    <numFmt numFmtId="164" formatCode="General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9"/>
      <color rgb="FFBDC3C7"/>
      <name val="Arial"/>
      <family val="0"/>
      <charset val="1"/>
    </font>
    <font>
      <b val="true"/>
      <sz val="36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3A5C"/>
      <name val="Arial"/>
      <family val="0"/>
      <charset val="1"/>
    </font>
    <font>
      <b val="true"/>
      <sz val="10"/>
      <color rgb="FF1B3A5C"/>
      <name val="Arial"/>
      <family val="0"/>
      <charset val="1"/>
    </font>
    <font>
      <b val="true"/>
      <sz val="10"/>
      <color rgb="FF006D77"/>
      <name val="Arial"/>
      <family val="0"/>
      <charset val="1"/>
    </font>
    <font>
      <sz val="10"/>
      <color rgb="FF2C3E50"/>
      <name val="Arial"/>
      <family val="0"/>
      <charset val="1"/>
    </font>
    <font>
      <sz val="10"/>
      <color rgb="FF1A7A41"/>
      <name val="Arial"/>
      <family val="0"/>
      <charset val="1"/>
    </font>
    <font>
      <b val="true"/>
      <sz val="10"/>
      <color rgb="FF1A7A41"/>
      <name val="Arial"/>
      <family val="0"/>
      <charset val="1"/>
    </font>
    <font>
      <b val="true"/>
      <sz val="10"/>
      <color rgb="FF145A32"/>
      <name val="Arial"/>
      <family val="0"/>
      <charset val="1"/>
    </font>
    <font>
      <sz val="10"/>
      <color rgb="FF154360"/>
      <name val="Arial"/>
      <family val="0"/>
      <charset val="1"/>
    </font>
    <font>
      <b val="true"/>
      <u val="singl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20"/>
      <color rgb="FFFFFFFF"/>
      <name val="Arial"/>
      <family val="0"/>
      <charset val="1"/>
    </font>
    <font>
      <b val="true"/>
      <u val="single"/>
      <sz val="10"/>
      <color rgb="FFFFFFFF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154360"/>
      <name val="Arial"/>
      <family val="0"/>
      <charset val="1"/>
    </font>
    <font>
      <b val="true"/>
      <sz val="10"/>
      <color rgb="FF9A7D0A"/>
      <name val="Arial"/>
      <family val="0"/>
      <charset val="1"/>
    </font>
    <font>
      <b val="true"/>
      <sz val="10"/>
      <color rgb="FF6C3483"/>
      <name val="Arial"/>
      <family val="0"/>
      <charset val="1"/>
    </font>
    <font>
      <b val="true"/>
      <sz val="10"/>
      <color rgb="FF2C3E5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10"/>
      <color rgb="FF9A7D0A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B3A5C"/>
        <bgColor rgb="FF154360"/>
      </patternFill>
    </fill>
    <fill>
      <patternFill patternType="solid">
        <fgColor rgb="FF006D77"/>
        <bgColor rgb="FF1A7A41"/>
      </patternFill>
    </fill>
    <fill>
      <patternFill patternType="solid">
        <fgColor rgb="FFF4F6F7"/>
        <bgColor rgb="FFF9F9F9"/>
      </patternFill>
    </fill>
    <fill>
      <patternFill patternType="solid">
        <fgColor rgb="FF1A7A41"/>
        <bgColor rgb="FF006D77"/>
      </patternFill>
    </fill>
    <fill>
      <patternFill patternType="solid">
        <fgColor rgb="FF154360"/>
        <bgColor rgb="FF1B3A5C"/>
      </patternFill>
    </fill>
    <fill>
      <patternFill patternType="solid">
        <fgColor rgb="FFEBF5FB"/>
        <bgColor rgb="FFF4F6F7"/>
      </patternFill>
    </fill>
    <fill>
      <patternFill patternType="solid">
        <fgColor rgb="FFFFFFFF"/>
        <bgColor rgb="FFF9F9F9"/>
      </patternFill>
    </fill>
    <fill>
      <patternFill patternType="solid">
        <fgColor rgb="FFD5F5E3"/>
        <bgColor rgb="FFD6EAF8"/>
      </patternFill>
    </fill>
    <fill>
      <patternFill patternType="solid">
        <fgColor rgb="FF2A9D8F"/>
        <bgColor rgb="FF4CAF50"/>
      </patternFill>
    </fill>
    <fill>
      <patternFill patternType="solid">
        <fgColor rgb="FFD6EAF8"/>
        <bgColor rgb="FFD5F5E3"/>
      </patternFill>
    </fill>
    <fill>
      <patternFill patternType="solid">
        <fgColor rgb="FFFEF9E7"/>
        <bgColor rgb="FFF9F9F9"/>
      </patternFill>
    </fill>
    <fill>
      <patternFill patternType="solid">
        <fgColor rgb="FFE8DAEF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45A32"/>
      <rgbColor rgb="FF000080"/>
      <rgbColor rgb="FF9A7D0A"/>
      <rgbColor rgb="FF800080"/>
      <rgbColor rgb="FF006D77"/>
      <rgbColor rgb="FFBDC3C7"/>
      <rgbColor rgb="FF878787"/>
      <rgbColor rgb="FF9999FF"/>
      <rgbColor rgb="FF6C3483"/>
      <rgbColor rgb="FFFEF9E7"/>
      <rgbColor rgb="FFD6EAF8"/>
      <rgbColor rgb="FF660066"/>
      <rgbColor rgb="FFFF8080"/>
      <rgbColor rgb="FF1A5276"/>
      <rgbColor rgb="FFD9D9D9"/>
      <rgbColor rgb="FF000080"/>
      <rgbColor rgb="FFFF00FF"/>
      <rgbColor rgb="FFFFFF00"/>
      <rgbColor rgb="FF00FFFF"/>
      <rgbColor rgb="FF800080"/>
      <rgbColor rgb="FF800000"/>
      <rgbColor rgb="FF1A7A41"/>
      <rgbColor rgb="FF0000FF"/>
      <rgbColor rgb="FF00CCFF"/>
      <rgbColor rgb="FFEBF5FB"/>
      <rgbColor rgb="FFD5F5E3"/>
      <rgbColor rgb="FFF9F9F9"/>
      <rgbColor rgb="FFF4F6F7"/>
      <rgbColor rgb="FFFF99CC"/>
      <rgbColor rgb="FFCC99FF"/>
      <rgbColor rgb="FFE8DAEF"/>
      <rgbColor rgb="FF2196F3"/>
      <rgbColor rgb="FF4CAF50"/>
      <rgbColor rgb="FF99CC00"/>
      <rgbColor rgb="FFFFCC00"/>
      <rgbColor rgb="FFFF9900"/>
      <rgbColor rgb="FFFF6600"/>
      <rgbColor rgb="FF666699"/>
      <rgbColor rgb="FF969696"/>
      <rgbColor rgb="FF1B3A5C"/>
      <rgbColor rgb="FF2A9D8F"/>
      <rgbColor rgb="FF003300"/>
      <rgbColor rgb="FF333300"/>
      <rgbColor rgb="FF993300"/>
      <rgbColor rgb="FF993366"/>
      <rgbColor rgb="FF154360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Peer Group % Correct vs TH193 by Challenge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Dashboard!B60</c:f>
              <c:strCache>
                <c:ptCount val="1"/>
                <c:pt idx="0">
                  <c:v>Avg Peer % (CORE)</c:v>
                </c:pt>
              </c:strCache>
            </c:strRef>
          </c:tx>
          <c:spPr>
            <a:solidFill>
              <a:srgbClr val="2196F3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Dashboard!$A$61:$A$65</c:f>
              <c:strCache>
                <c:ptCount val="5"/>
                <c:pt idx="0">
                  <c:v>2024 C1</c:v>
                </c:pt>
                <c:pt idx="1">
                  <c:v>2024 C2</c:v>
                </c:pt>
                <c:pt idx="2">
                  <c:v>2025 C1</c:v>
                </c:pt>
                <c:pt idx="3">
                  <c:v>2025 C2</c:v>
                </c:pt>
                <c:pt idx="4">
                  <c:v>2026 C1</c:v>
                </c:pt>
              </c:strCache>
            </c:strRef>
          </c:cat>
          <c:val>
            <c:numRef>
              <c:f>Dashboard!$B$61:$B$65</c:f>
              <c:numCache>
                <c:formatCode>General</c:formatCode>
                <c:ptCount val="5"/>
                <c:pt idx="0">
                  <c:v>99.1</c:v>
                </c:pt>
                <c:pt idx="1">
                  <c:v>98.5</c:v>
                </c:pt>
                <c:pt idx="2">
                  <c:v>98.5</c:v>
                </c:pt>
                <c:pt idx="3">
                  <c:v>98.7</c:v>
                </c:pt>
                <c:pt idx="4">
                  <c:v>98.2</c:v>
                </c:pt>
              </c:numCache>
            </c:numRef>
          </c:val>
        </c:ser>
        <c:ser>
          <c:idx val="1"/>
          <c:order val="1"/>
          <c:tx>
            <c:strRef>
              <c:f>Dashboard!C60</c:f>
              <c:strCache>
                <c:ptCount val="1"/>
                <c:pt idx="0">
                  <c:v>TH193 (100%)</c:v>
                </c:pt>
              </c:strCache>
            </c:strRef>
          </c:tx>
          <c:spPr>
            <a:solidFill>
              <a:srgbClr val="4CAF50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Dashboard!$A$61:$A$65</c:f>
              <c:strCache>
                <c:ptCount val="5"/>
                <c:pt idx="0">
                  <c:v>2024 C1</c:v>
                </c:pt>
                <c:pt idx="1">
                  <c:v>2024 C2</c:v>
                </c:pt>
                <c:pt idx="2">
                  <c:v>2025 C1</c:v>
                </c:pt>
                <c:pt idx="3">
                  <c:v>2025 C2</c:v>
                </c:pt>
                <c:pt idx="4">
                  <c:v>2026 C1</c:v>
                </c:pt>
              </c:strCache>
            </c:strRef>
          </c:cat>
          <c:val>
            <c:numRef>
              <c:f>Dashboard!$C$61:$C$65</c:f>
              <c:numCache>
                <c:formatCode>General</c:formatCode>
                <c:ptCount val="5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</c:numCache>
            </c:numRef>
          </c:val>
        </c:ser>
        <c:gapWidth val="150"/>
        <c:overlap val="0"/>
        <c:axId val="37040669"/>
        <c:axId val="72038227"/>
      </c:barChart>
      <c:catAx>
        <c:axId val="370406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Challenge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2038227"/>
        <c:crosses val="autoZero"/>
        <c:auto val="1"/>
        <c:lblAlgn val="ctr"/>
        <c:lblOffset val="100"/>
        <c:noMultiLvlLbl val="0"/>
      </c:catAx>
      <c:valAx>
        <c:axId val="72038227"/>
        <c:scaling>
          <c:orientation val="minMax"/>
          <c:max val="101"/>
          <c:min val="8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% Correct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704066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2024 C1 — Cycle Threshold (CT) Values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'2024'!B60</c:f>
              <c:strCache>
                <c:ptCount val="1"/>
                <c:pt idx="0">
                  <c:v>CT Value</c:v>
                </c:pt>
              </c:strCache>
            </c:strRef>
          </c:tx>
          <c:spPr>
            <a:solidFill>
              <a:srgbClr val="1A5276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'2024'!$A$61:$A$66</c:f>
              <c:strCache>
                <c:ptCount val="6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</c:strCache>
            </c:strRef>
          </c:cat>
          <c:val>
            <c:numRef>
              <c:f>'2024'!$B$61:$B$66</c:f>
              <c:numCache>
                <c:formatCode>General</c:formatCode>
                <c:ptCount val="6"/>
                <c:pt idx="0">
                  <c:v>29.7</c:v>
                </c:pt>
                <c:pt idx="1">
                  <c:v>26.44</c:v>
                </c:pt>
                <c:pt idx="2">
                  <c:v>26.53</c:v>
                </c:pt>
                <c:pt idx="3">
                  <c:v>23.51</c:v>
                </c:pt>
                <c:pt idx="4">
                  <c:v>31.05</c:v>
                </c:pt>
              </c:numCache>
            </c:numRef>
          </c:val>
        </c:ser>
        <c:gapWidth val="150"/>
        <c:overlap val="0"/>
        <c:axId val="49586649"/>
        <c:axId val="49339108"/>
      </c:barChart>
      <c:catAx>
        <c:axId val="495866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Sample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9339108"/>
        <c:crosses val="autoZero"/>
        <c:auto val="1"/>
        <c:lblAlgn val="ctr"/>
        <c:lblOffset val="100"/>
        <c:noMultiLvlLbl val="0"/>
      </c:catAx>
      <c:valAx>
        <c:axId val="49339108"/>
        <c:scaling>
          <c:orientation val="minMax"/>
          <c:max val="35"/>
          <c:min val="2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CT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958664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2024 C2 — Cycle Threshold (CT) Values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'2024'!B75</c:f>
              <c:strCache>
                <c:ptCount val="1"/>
                <c:pt idx="0">
                  <c:v>CT Value</c:v>
                </c:pt>
              </c:strCache>
            </c:strRef>
          </c:tx>
          <c:spPr>
            <a:solidFill>
              <a:srgbClr val="1A5276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'2024'!$A$76:$A$81</c:f>
              <c:strCache>
                <c:ptCount val="6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</c:strCache>
            </c:strRef>
          </c:cat>
          <c:val>
            <c:numRef>
              <c:f>'2024'!$B$76:$B$81</c:f>
              <c:numCache>
                <c:formatCode>General</c:formatCode>
                <c:ptCount val="6"/>
                <c:pt idx="0">
                  <c:v>25.49</c:v>
                </c:pt>
                <c:pt idx="1">
                  <c:v>26.63</c:v>
                </c:pt>
                <c:pt idx="3">
                  <c:v>26.54</c:v>
                </c:pt>
                <c:pt idx="4">
                  <c:v>26.75</c:v>
                </c:pt>
                <c:pt idx="5">
                  <c:v>27.16</c:v>
                </c:pt>
              </c:numCache>
            </c:numRef>
          </c:val>
        </c:ser>
        <c:gapWidth val="150"/>
        <c:overlap val="0"/>
        <c:axId val="36283262"/>
        <c:axId val="9934793"/>
      </c:barChart>
      <c:catAx>
        <c:axId val="362832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Sample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934793"/>
        <c:crosses val="autoZero"/>
        <c:auto val="1"/>
        <c:lblAlgn val="ctr"/>
        <c:lblOffset val="100"/>
        <c:noMultiLvlLbl val="0"/>
      </c:catAx>
      <c:valAx>
        <c:axId val="9934793"/>
        <c:scaling>
          <c:orientation val="minMax"/>
          <c:max val="35"/>
          <c:min val="2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CT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628326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2025 C1 — Cycle Threshold (CT) Values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'2025'!B60</c:f>
              <c:strCache>
                <c:ptCount val="1"/>
                <c:pt idx="0">
                  <c:v>CT Value</c:v>
                </c:pt>
              </c:strCache>
            </c:strRef>
          </c:tx>
          <c:spPr>
            <a:solidFill>
              <a:srgbClr val="1A5276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'2025'!$A$61:$A$66</c:f>
              <c:strCache>
                <c:ptCount val="6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</c:strCache>
            </c:strRef>
          </c:cat>
          <c:val>
            <c:numRef>
              <c:f>'2025'!$B$61:$B$66</c:f>
              <c:numCache>
                <c:formatCode>General</c:formatCode>
                <c:ptCount val="6"/>
                <c:pt idx="0">
                  <c:v>27.26</c:v>
                </c:pt>
                <c:pt idx="1">
                  <c:v>27.37</c:v>
                </c:pt>
                <c:pt idx="2">
                  <c:v>23.43</c:v>
                </c:pt>
                <c:pt idx="3">
                  <c:v>27.21</c:v>
                </c:pt>
                <c:pt idx="5">
                  <c:v>30.15</c:v>
                </c:pt>
              </c:numCache>
            </c:numRef>
          </c:val>
        </c:ser>
        <c:gapWidth val="150"/>
        <c:overlap val="0"/>
        <c:axId val="52904392"/>
        <c:axId val="3329542"/>
      </c:barChart>
      <c:catAx>
        <c:axId val="529043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Sample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329542"/>
        <c:crosses val="autoZero"/>
        <c:auto val="1"/>
        <c:lblAlgn val="ctr"/>
        <c:lblOffset val="100"/>
        <c:noMultiLvlLbl val="0"/>
      </c:catAx>
      <c:valAx>
        <c:axId val="3329542"/>
        <c:scaling>
          <c:orientation val="minMax"/>
          <c:max val="35"/>
          <c:min val="2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CT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290439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2025 C2 — Cycle Threshold (CT) Values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'2025'!B75</c:f>
              <c:strCache>
                <c:ptCount val="1"/>
                <c:pt idx="0">
                  <c:v>CT Value</c:v>
                </c:pt>
              </c:strCache>
            </c:strRef>
          </c:tx>
          <c:spPr>
            <a:solidFill>
              <a:srgbClr val="1A5276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'2025'!$A$76:$A$81</c:f>
              <c:strCache>
                <c:ptCount val="6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</c:strCache>
            </c:strRef>
          </c:cat>
          <c:val>
            <c:numRef>
              <c:f>'2025'!$B$76:$B$81</c:f>
              <c:numCache>
                <c:formatCode>General</c:formatCode>
                <c:ptCount val="6"/>
                <c:pt idx="0">
                  <c:v>25.39</c:v>
                </c:pt>
                <c:pt idx="1">
                  <c:v>27.7</c:v>
                </c:pt>
                <c:pt idx="2">
                  <c:v>26.48</c:v>
                </c:pt>
                <c:pt idx="4">
                  <c:v>27.55</c:v>
                </c:pt>
                <c:pt idx="5">
                  <c:v>24.91</c:v>
                </c:pt>
              </c:numCache>
            </c:numRef>
          </c:val>
        </c:ser>
        <c:gapWidth val="150"/>
        <c:overlap val="0"/>
        <c:axId val="21153383"/>
        <c:axId val="98764231"/>
      </c:barChart>
      <c:catAx>
        <c:axId val="211533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Sample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8764231"/>
        <c:crosses val="autoZero"/>
        <c:auto val="1"/>
        <c:lblAlgn val="ctr"/>
        <c:lblOffset val="100"/>
        <c:noMultiLvlLbl val="0"/>
      </c:catAx>
      <c:valAx>
        <c:axId val="98764231"/>
        <c:scaling>
          <c:orientation val="minMax"/>
          <c:max val="35"/>
          <c:min val="2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CT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115338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2026 C1 — Cycle Threshold (CT) Values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'2026'!B60</c:f>
              <c:strCache>
                <c:ptCount val="1"/>
                <c:pt idx="0">
                  <c:v>CT Value</c:v>
                </c:pt>
              </c:strCache>
            </c:strRef>
          </c:tx>
          <c:spPr>
            <a:solidFill>
              <a:srgbClr val="1A5276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'2026'!$A$61:$A$66</c:f>
              <c:strCache>
                <c:ptCount val="6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</c:strCache>
            </c:strRef>
          </c:cat>
          <c:val>
            <c:numRef>
              <c:f>'2026'!$B$61:$B$66</c:f>
              <c:numCache>
                <c:formatCode>General</c:formatCode>
                <c:ptCount val="6"/>
                <c:pt idx="0">
                  <c:v>28.41</c:v>
                </c:pt>
                <c:pt idx="1">
                  <c:v>25.63</c:v>
                </c:pt>
                <c:pt idx="2">
                  <c:v>26.16</c:v>
                </c:pt>
                <c:pt idx="3">
                  <c:v>26.64</c:v>
                </c:pt>
                <c:pt idx="4">
                  <c:v>29.99</c:v>
                </c:pt>
              </c:numCache>
            </c:numRef>
          </c:val>
        </c:ser>
        <c:gapWidth val="150"/>
        <c:overlap val="0"/>
        <c:axId val="85283743"/>
        <c:axId val="16851584"/>
      </c:barChart>
      <c:catAx>
        <c:axId val="852837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Sample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6851584"/>
        <c:crosses val="autoZero"/>
        <c:auto val="1"/>
        <c:lblAlgn val="ctr"/>
        <c:lblOffset val="100"/>
        <c:noMultiLvlLbl val="0"/>
      </c:catAx>
      <c:valAx>
        <c:axId val="16851584"/>
        <c:scaling>
          <c:orientation val="minMax"/>
          <c:max val="35"/>
          <c:min val="2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CT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528374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HPV Genotype Distribution — All Challenges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'Genotype Analysis'!B60</c:f>
              <c:strCache>
                <c:ptCount val="1"/>
                <c:pt idx="0">
                  <c:v># Samples</c:v>
                </c:pt>
              </c:strCache>
            </c:strRef>
          </c:tx>
          <c:spPr>
            <a:solidFill>
              <a:srgbClr val="006D77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'Genotype Analysis'!$A$61:$A$65</c:f>
              <c:strCache>
                <c:ptCount val="5"/>
                <c:pt idx="0">
                  <c:v>HPV16</c:v>
                </c:pt>
                <c:pt idx="1">
                  <c:v>HPV18</c:v>
                </c:pt>
                <c:pt idx="2">
                  <c:v>HPV45</c:v>
                </c:pt>
                <c:pt idx="3">
                  <c:v>HPV16+18</c:v>
                </c:pt>
                <c:pt idx="4">
                  <c:v>Negative</c:v>
                </c:pt>
              </c:strCache>
            </c:strRef>
          </c:cat>
          <c:val>
            <c:numRef>
              <c:f>'Genotype Analysis'!$B$61:$B$65</c:f>
              <c:numCache>
                <c:formatCode>General</c:formatCode>
                <c:ptCount val="5"/>
                <c:pt idx="0">
                  <c:v>11</c:v>
                </c:pt>
                <c:pt idx="1">
                  <c:v>8</c:v>
                </c:pt>
                <c:pt idx="2">
                  <c:v>5</c:v>
                </c:pt>
                <c:pt idx="3">
                  <c:v>1</c:v>
                </c:pt>
                <c:pt idx="4">
                  <c:v>5</c:v>
                </c:pt>
              </c:numCache>
            </c:numRef>
          </c:val>
        </c:ser>
        <c:gapWidth val="150"/>
        <c:overlap val="0"/>
        <c:axId val="58048243"/>
        <c:axId val="68155907"/>
      </c:barChart>
      <c:catAx>
        <c:axId val="580482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HPV Genotype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8155907"/>
        <c:crosses val="autoZero"/>
        <c:auto val="1"/>
        <c:lblAlgn val="ctr"/>
        <c:lblOffset val="100"/>
        <c:noMultiLvlLbl val="0"/>
      </c:catAx>
      <c:valAx>
        <c:axId val="681559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Number of Samples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804824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21</xdr:row>
      <xdr:rowOff>0</xdr:rowOff>
    </xdr:from>
    <xdr:to>
      <xdr:col>9</xdr:col>
      <xdr:colOff>25560</xdr:colOff>
      <xdr:row>45</xdr:row>
      <xdr:rowOff>107640</xdr:rowOff>
    </xdr:to>
    <xdr:graphicFrame>
      <xdr:nvGraphicFramePr>
        <xdr:cNvPr id="1" name="Chart 1"/>
        <xdr:cNvGraphicFramePr/>
      </xdr:nvGraphicFramePr>
      <xdr:xfrm>
        <a:off x="141120" y="5724360"/>
        <a:ext cx="791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19</xdr:row>
      <xdr:rowOff>0</xdr:rowOff>
    </xdr:from>
    <xdr:to>
      <xdr:col>7</xdr:col>
      <xdr:colOff>417960</xdr:colOff>
      <xdr:row>37</xdr:row>
      <xdr:rowOff>75240</xdr:rowOff>
    </xdr:to>
    <xdr:graphicFrame>
      <xdr:nvGraphicFramePr>
        <xdr:cNvPr id="2" name="Chart 1"/>
        <xdr:cNvGraphicFramePr/>
      </xdr:nvGraphicFramePr>
      <xdr:xfrm>
        <a:off x="141120" y="461952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48</xdr:row>
      <xdr:rowOff>0</xdr:rowOff>
    </xdr:from>
    <xdr:to>
      <xdr:col>7</xdr:col>
      <xdr:colOff>417960</xdr:colOff>
      <xdr:row>66</xdr:row>
      <xdr:rowOff>170640</xdr:rowOff>
    </xdr:to>
    <xdr:graphicFrame>
      <xdr:nvGraphicFramePr>
        <xdr:cNvPr id="3" name="Chart 2"/>
        <xdr:cNvGraphicFramePr/>
      </xdr:nvGraphicFramePr>
      <xdr:xfrm>
        <a:off x="141120" y="1077264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19</xdr:row>
      <xdr:rowOff>0</xdr:rowOff>
    </xdr:from>
    <xdr:to>
      <xdr:col>7</xdr:col>
      <xdr:colOff>417960</xdr:colOff>
      <xdr:row>37</xdr:row>
      <xdr:rowOff>75240</xdr:rowOff>
    </xdr:to>
    <xdr:graphicFrame>
      <xdr:nvGraphicFramePr>
        <xdr:cNvPr id="4" name="Chart 1"/>
        <xdr:cNvGraphicFramePr/>
      </xdr:nvGraphicFramePr>
      <xdr:xfrm>
        <a:off x="141120" y="461952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48</xdr:row>
      <xdr:rowOff>0</xdr:rowOff>
    </xdr:from>
    <xdr:to>
      <xdr:col>7</xdr:col>
      <xdr:colOff>417960</xdr:colOff>
      <xdr:row>66</xdr:row>
      <xdr:rowOff>170640</xdr:rowOff>
    </xdr:to>
    <xdr:graphicFrame>
      <xdr:nvGraphicFramePr>
        <xdr:cNvPr id="5" name="Chart 2"/>
        <xdr:cNvGraphicFramePr/>
      </xdr:nvGraphicFramePr>
      <xdr:xfrm>
        <a:off x="141120" y="1077264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19</xdr:row>
      <xdr:rowOff>0</xdr:rowOff>
    </xdr:from>
    <xdr:to>
      <xdr:col>7</xdr:col>
      <xdr:colOff>417960</xdr:colOff>
      <xdr:row>37</xdr:row>
      <xdr:rowOff>170640</xdr:rowOff>
    </xdr:to>
    <xdr:graphicFrame>
      <xdr:nvGraphicFramePr>
        <xdr:cNvPr id="6" name="Chart 1"/>
        <xdr:cNvGraphicFramePr/>
      </xdr:nvGraphicFramePr>
      <xdr:xfrm>
        <a:off x="141120" y="461952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24</xdr:row>
      <xdr:rowOff>0</xdr:rowOff>
    </xdr:from>
    <xdr:to>
      <xdr:col>8</xdr:col>
      <xdr:colOff>433080</xdr:colOff>
      <xdr:row>46</xdr:row>
      <xdr:rowOff>78840</xdr:rowOff>
    </xdr:to>
    <xdr:graphicFrame>
      <xdr:nvGraphicFramePr>
        <xdr:cNvPr id="7" name="Chart 1"/>
        <xdr:cNvGraphicFramePr/>
      </xdr:nvGraphicFramePr>
      <xdr:xfrm>
        <a:off x="141120" y="5553000"/>
        <a:ext cx="719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QCMD_HPV_EQA_Dashboard_TH193.xlsx" TargetMode="External"/><Relationship Id="rId2" Type="http://schemas.openxmlformats.org/officeDocument/2006/relationships/hyperlink" Target="QCMD_HPV_EQA_Dashboard_TH193.xlsx" TargetMode="External"/><Relationship Id="rId3" Type="http://schemas.openxmlformats.org/officeDocument/2006/relationships/hyperlink" Target="QCMD_HPV_EQA_Dashboard_TH193.xlsx" TargetMode="External"/><Relationship Id="rId4" Type="http://schemas.openxmlformats.org/officeDocument/2006/relationships/hyperlink" Target="QCMD_HPV_EQA_Dashboard_TH193.xlsx" TargetMode="External"/><Relationship Id="rId5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QCMD_HPV_EQA_Dashboard_TH193.xlsx" TargetMode="External"/><Relationship Id="rId2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QCMD_HPV_EQA_Dashboard_TH193.xlsx" TargetMode="External"/><Relationship Id="rId2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QCMD_HPV_EQA_Dashboard_TH193.xlsx" TargetMode="External"/><Relationship Id="rId2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QCMD_HPV_EQA_Dashboard_TH193.xlsx" TargetMode="External"/><Relationship Id="rId2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7" min="5" style="0" width="13"/>
    <col collapsed="false" customWidth="true" hidden="false" outlineLevel="0" max="9" min="8" style="0" width="14"/>
    <col collapsed="false" customWidth="true" hidden="false" outlineLevel="0" max="10" min="10" style="0" width="16"/>
    <col collapsed="false" customWidth="true" hidden="false" outlineLevel="0" max="11" min="11" style="0" width="2"/>
  </cols>
  <sheetData>
    <row r="1" customFormat="false" ht="6" hidden="false" customHeight="true" outlineLevel="0" collapsed="false"/>
    <row r="2" customFormat="false" ht="54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</row>
    <row r="3" customFormat="false" ht="27.75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</row>
    <row r="4" customFormat="false" ht="7.5" hidden="false" customHeight="true" outlineLevel="0" collapsed="false"/>
    <row r="5" customFormat="false" ht="15.75" hidden="false" customHeight="true" outlineLevel="0" collapsed="false">
      <c r="B5" s="3" t="s">
        <v>2</v>
      </c>
      <c r="C5" s="3"/>
      <c r="D5" s="3"/>
      <c r="E5" s="3"/>
      <c r="F5" s="3"/>
      <c r="G5" s="3"/>
      <c r="H5" s="3"/>
      <c r="I5" s="3"/>
      <c r="J5" s="3"/>
    </row>
    <row r="6" customFormat="false" ht="51.75" hidden="false" customHeight="true" outlineLevel="0" collapsed="false">
      <c r="B6" s="4" t="s">
        <v>3</v>
      </c>
      <c r="C6" s="4"/>
      <c r="D6" s="5" t="s">
        <v>4</v>
      </c>
      <c r="E6" s="5"/>
      <c r="F6" s="6" t="s">
        <v>5</v>
      </c>
      <c r="G6" s="6"/>
      <c r="H6" s="7" t="s">
        <v>5</v>
      </c>
      <c r="I6" s="7"/>
      <c r="J6" s="7"/>
    </row>
    <row r="7" customFormat="false" ht="27.75" hidden="false" customHeight="true" outlineLevel="0" collapsed="false">
      <c r="B7" s="8" t="s">
        <v>6</v>
      </c>
      <c r="C7" s="8"/>
      <c r="D7" s="9" t="s">
        <v>7</v>
      </c>
      <c r="E7" s="9"/>
      <c r="F7" s="10" t="s">
        <v>8</v>
      </c>
      <c r="G7" s="10"/>
      <c r="H7" s="11" t="s">
        <v>9</v>
      </c>
      <c r="I7" s="11"/>
      <c r="J7" s="11"/>
    </row>
    <row r="8" customFormat="false" ht="7.5" hidden="false" customHeight="true" outlineLevel="0" collapsed="false"/>
    <row r="9" customFormat="false" ht="48" hidden="false" customHeight="true" outlineLevel="0" collapsed="false">
      <c r="B9" s="12" t="s">
        <v>10</v>
      </c>
      <c r="C9" s="12"/>
      <c r="D9" s="12" t="s">
        <v>11</v>
      </c>
      <c r="E9" s="12"/>
      <c r="F9" s="12" t="s">
        <v>12</v>
      </c>
      <c r="G9" s="12"/>
      <c r="H9" s="12" t="s">
        <v>13</v>
      </c>
      <c r="I9" s="12"/>
      <c r="J9" s="12"/>
    </row>
    <row r="10" customFormat="false" ht="7.5" hidden="false" customHeight="true" outlineLevel="0" collapsed="false"/>
    <row r="11" customFormat="false" ht="15.75" hidden="false" customHeight="true" outlineLevel="0" collapsed="false">
      <c r="B11" s="3" t="s">
        <v>14</v>
      </c>
      <c r="C11" s="3"/>
      <c r="D11" s="3"/>
      <c r="E11" s="3"/>
      <c r="F11" s="3"/>
      <c r="G11" s="3"/>
      <c r="H11" s="3"/>
      <c r="I11" s="3"/>
      <c r="J11" s="3"/>
    </row>
    <row r="12" customFormat="false" ht="25.5" hidden="false" customHeight="true" outlineLevel="0" collapsed="false">
      <c r="B12" s="13" t="s">
        <v>15</v>
      </c>
      <c r="C12" s="13" t="s">
        <v>16</v>
      </c>
      <c r="D12" s="13" t="s">
        <v>17</v>
      </c>
      <c r="E12" s="13" t="s">
        <v>18</v>
      </c>
      <c r="F12" s="13" t="s">
        <v>19</v>
      </c>
      <c r="G12" s="13" t="s">
        <v>20</v>
      </c>
      <c r="H12" s="13" t="s">
        <v>21</v>
      </c>
      <c r="I12" s="13" t="s">
        <v>22</v>
      </c>
      <c r="J12" s="13" t="s">
        <v>23</v>
      </c>
    </row>
    <row r="13" customFormat="false" ht="19.5" hidden="false" customHeight="true" outlineLevel="0" collapsed="false">
      <c r="B13" s="14" t="n">
        <v>2024</v>
      </c>
      <c r="C13" s="15" t="s">
        <v>24</v>
      </c>
      <c r="D13" s="16" t="s">
        <v>25</v>
      </c>
      <c r="E13" s="16" t="n">
        <v>191</v>
      </c>
      <c r="F13" s="17" t="s">
        <v>26</v>
      </c>
      <c r="G13" s="18" t="s">
        <v>27</v>
      </c>
      <c r="H13" s="19" t="s">
        <v>28</v>
      </c>
      <c r="I13" s="19" t="s">
        <v>28</v>
      </c>
      <c r="J13" s="20" t="s">
        <v>29</v>
      </c>
    </row>
    <row r="14" customFormat="false" ht="19.5" hidden="false" customHeight="true" outlineLevel="0" collapsed="false">
      <c r="B14" s="21" t="n">
        <v>2024</v>
      </c>
      <c r="C14" s="22" t="s">
        <v>30</v>
      </c>
      <c r="D14" s="23" t="s">
        <v>31</v>
      </c>
      <c r="E14" s="23" t="n">
        <v>196</v>
      </c>
      <c r="F14" s="24" t="s">
        <v>26</v>
      </c>
      <c r="G14" s="18" t="s">
        <v>27</v>
      </c>
      <c r="H14" s="19" t="s">
        <v>28</v>
      </c>
      <c r="I14" s="19" t="s">
        <v>28</v>
      </c>
      <c r="J14" s="25" t="s">
        <v>32</v>
      </c>
    </row>
    <row r="15" customFormat="false" ht="19.5" hidden="false" customHeight="true" outlineLevel="0" collapsed="false">
      <c r="B15" s="14" t="n">
        <v>2025</v>
      </c>
      <c r="C15" s="15" t="s">
        <v>24</v>
      </c>
      <c r="D15" s="16" t="s">
        <v>33</v>
      </c>
      <c r="E15" s="16" t="n">
        <v>256</v>
      </c>
      <c r="F15" s="17" t="s">
        <v>26</v>
      </c>
      <c r="G15" s="18" t="s">
        <v>27</v>
      </c>
      <c r="H15" s="19" t="s">
        <v>28</v>
      </c>
      <c r="I15" s="19" t="s">
        <v>28</v>
      </c>
      <c r="J15" s="20" t="s">
        <v>32</v>
      </c>
    </row>
    <row r="16" customFormat="false" ht="19.5" hidden="false" customHeight="true" outlineLevel="0" collapsed="false">
      <c r="B16" s="21" t="n">
        <v>2025</v>
      </c>
      <c r="C16" s="22" t="s">
        <v>30</v>
      </c>
      <c r="D16" s="23" t="s">
        <v>34</v>
      </c>
      <c r="E16" s="23" t="n">
        <v>253</v>
      </c>
      <c r="F16" s="24" t="s">
        <v>26</v>
      </c>
      <c r="G16" s="18" t="s">
        <v>27</v>
      </c>
      <c r="H16" s="19" t="s">
        <v>28</v>
      </c>
      <c r="I16" s="19" t="s">
        <v>28</v>
      </c>
      <c r="J16" s="25" t="s">
        <v>35</v>
      </c>
    </row>
    <row r="17" customFormat="false" ht="19.5" hidden="false" customHeight="true" outlineLevel="0" collapsed="false">
      <c r="B17" s="14" t="n">
        <v>2026</v>
      </c>
      <c r="C17" s="15" t="s">
        <v>24</v>
      </c>
      <c r="D17" s="16" t="s">
        <v>36</v>
      </c>
      <c r="E17" s="16" t="n">
        <v>225</v>
      </c>
      <c r="F17" s="17" t="s">
        <v>26</v>
      </c>
      <c r="G17" s="18" t="s">
        <v>27</v>
      </c>
      <c r="H17" s="19" t="s">
        <v>28</v>
      </c>
      <c r="I17" s="19" t="s">
        <v>28</v>
      </c>
      <c r="J17" s="20" t="s">
        <v>37</v>
      </c>
    </row>
    <row r="18" customFormat="false" ht="9.75" hidden="false" customHeight="true" outlineLevel="0" collapsed="false"/>
    <row r="19" customFormat="false" ht="15.75" hidden="false" customHeight="true" outlineLevel="0" collapsed="false">
      <c r="B19" s="3" t="s">
        <v>38</v>
      </c>
      <c r="C19" s="3"/>
      <c r="D19" s="3"/>
      <c r="E19" s="3"/>
      <c r="F19" s="3"/>
      <c r="G19" s="3"/>
      <c r="H19" s="3"/>
      <c r="I19" s="3"/>
      <c r="J19" s="3"/>
    </row>
    <row r="20" customFormat="false" ht="25.5" hidden="false" customHeight="true" outlineLevel="0" collapsed="false">
      <c r="B20" s="26" t="s">
        <v>39</v>
      </c>
      <c r="C20" s="26"/>
      <c r="D20" s="27" t="s">
        <v>40</v>
      </c>
      <c r="E20" s="27"/>
      <c r="F20" s="28" t="s">
        <v>41</v>
      </c>
      <c r="G20" s="28"/>
      <c r="H20" s="29" t="s">
        <v>42</v>
      </c>
      <c r="I20" s="29"/>
      <c r="J20" s="29"/>
    </row>
    <row r="21" customFormat="false" ht="7.5" hidden="false" customHeight="true" outlineLevel="0" collapsed="false"/>
    <row r="60" customFormat="false" ht="15" hidden="false" customHeight="false" outlineLevel="0" collapsed="false">
      <c r="A60" s="0" t="s">
        <v>16</v>
      </c>
      <c r="B60" s="0" t="s">
        <v>43</v>
      </c>
      <c r="C60" s="0" t="s">
        <v>44</v>
      </c>
    </row>
    <row r="61" customFormat="false" ht="15" hidden="false" customHeight="false" outlineLevel="0" collapsed="false">
      <c r="A61" s="0" t="s">
        <v>45</v>
      </c>
      <c r="B61" s="0" t="n">
        <v>99.1</v>
      </c>
      <c r="C61" s="0" t="n">
        <v>100</v>
      </c>
    </row>
    <row r="62" customFormat="false" ht="15" hidden="false" customHeight="false" outlineLevel="0" collapsed="false">
      <c r="A62" s="0" t="s">
        <v>46</v>
      </c>
      <c r="B62" s="0" t="n">
        <v>98.5</v>
      </c>
      <c r="C62" s="0" t="n">
        <v>100</v>
      </c>
    </row>
    <row r="63" customFormat="false" ht="15" hidden="false" customHeight="false" outlineLevel="0" collapsed="false">
      <c r="A63" s="0" t="s">
        <v>47</v>
      </c>
      <c r="B63" s="0" t="n">
        <v>98.5</v>
      </c>
      <c r="C63" s="0" t="n">
        <v>100</v>
      </c>
    </row>
    <row r="64" customFormat="false" ht="15" hidden="false" customHeight="false" outlineLevel="0" collapsed="false">
      <c r="A64" s="0" t="s">
        <v>48</v>
      </c>
      <c r="B64" s="0" t="n">
        <v>98.7</v>
      </c>
      <c r="C64" s="0" t="n">
        <v>100</v>
      </c>
    </row>
    <row r="65" customFormat="false" ht="15" hidden="false" customHeight="false" outlineLevel="0" collapsed="false">
      <c r="A65" s="0" t="s">
        <v>49</v>
      </c>
      <c r="B65" s="0" t="n">
        <v>98.2</v>
      </c>
      <c r="C65" s="0" t="n">
        <v>100</v>
      </c>
    </row>
  </sheetData>
  <mergeCells count="21">
    <mergeCell ref="B2:J2"/>
    <mergeCell ref="B3:J3"/>
    <mergeCell ref="B5:J5"/>
    <mergeCell ref="B6:C6"/>
    <mergeCell ref="D6:E6"/>
    <mergeCell ref="F6:G6"/>
    <mergeCell ref="H6:J6"/>
    <mergeCell ref="B7:C7"/>
    <mergeCell ref="D7:E7"/>
    <mergeCell ref="F7:G7"/>
    <mergeCell ref="H7:J7"/>
    <mergeCell ref="B9:C9"/>
    <mergeCell ref="D9:E9"/>
    <mergeCell ref="F9:G9"/>
    <mergeCell ref="H9:J9"/>
    <mergeCell ref="B11:J11"/>
    <mergeCell ref="B19:J19"/>
    <mergeCell ref="B20:C20"/>
    <mergeCell ref="D20:E20"/>
    <mergeCell ref="F20:G20"/>
    <mergeCell ref="H20:J20"/>
  </mergeCells>
  <hyperlinks>
    <hyperlink ref="B20" r:id="rId1" location="'2024'!A1" display="→  2024 Detailed Results"/>
    <hyperlink ref="D20" r:id="rId2" location="'2025'!A1" display="→  2025 Detailed Results"/>
    <hyperlink ref="F20" r:id="rId3" location="'2026'!A1" display="→  2026 Detailed Results"/>
    <hyperlink ref="H20" r:id="rId4" location="'Genotype%20Analysis'!A1" display="→  Genotype Analysi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1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24"/>
    <col collapsed="false" customWidth="true" hidden="false" outlineLevel="0" max="7" min="5" style="0" width="12"/>
    <col collapsed="false" customWidth="true" hidden="false" outlineLevel="0" max="9" min="8" style="0" width="13"/>
    <col collapsed="false" customWidth="true" hidden="false" outlineLevel="0" max="10" min="10" style="0" width="16"/>
    <col collapsed="false" customWidth="true" hidden="false" outlineLevel="0" max="11" min="11" style="0" width="2"/>
  </cols>
  <sheetData>
    <row r="1" customFormat="false" ht="6" hidden="false" customHeight="true" outlineLevel="0" collapsed="false"/>
    <row r="2" customFormat="false" ht="45.75" hidden="false" customHeight="true" outlineLevel="0" collapsed="false">
      <c r="B2" s="30" t="s">
        <v>50</v>
      </c>
      <c r="C2" s="30"/>
      <c r="D2" s="30"/>
      <c r="E2" s="30"/>
      <c r="F2" s="30"/>
      <c r="G2" s="30"/>
      <c r="H2" s="30"/>
      <c r="I2" s="30"/>
      <c r="J2" s="30"/>
    </row>
    <row r="3" customFormat="false" ht="25.5" hidden="false" customHeight="true" outlineLevel="0" collapsed="false">
      <c r="B3" s="2" t="s">
        <v>51</v>
      </c>
      <c r="C3" s="2"/>
      <c r="D3" s="2"/>
      <c r="E3" s="2"/>
      <c r="F3" s="2"/>
      <c r="G3" s="2"/>
      <c r="H3" s="2"/>
      <c r="I3" s="2"/>
      <c r="J3" s="2"/>
    </row>
    <row r="4" customFormat="false" ht="7.5" hidden="false" customHeight="true" outlineLevel="0" collapsed="false"/>
    <row r="5" customFormat="false" ht="19.5" hidden="false" customHeight="true" outlineLevel="0" collapsed="false">
      <c r="B5" s="31" t="s">
        <v>52</v>
      </c>
      <c r="C5" s="31"/>
    </row>
    <row r="7" customFormat="false" ht="9.75" hidden="false" customHeight="true" outlineLevel="0" collapsed="false">
      <c r="B7" s="32"/>
      <c r="C7" s="32"/>
      <c r="D7" s="32"/>
      <c r="E7" s="32"/>
      <c r="F7" s="32"/>
      <c r="G7" s="32"/>
      <c r="H7" s="32"/>
      <c r="I7" s="32"/>
      <c r="J7" s="32"/>
    </row>
    <row r="8" customFormat="false" ht="27.75" hidden="false" customHeight="true" outlineLevel="0" collapsed="false">
      <c r="B8" s="33" t="s">
        <v>53</v>
      </c>
      <c r="C8" s="33"/>
      <c r="D8" s="33"/>
      <c r="E8" s="33"/>
      <c r="F8" s="33"/>
      <c r="G8" s="33"/>
      <c r="H8" s="33"/>
      <c r="I8" s="33"/>
      <c r="J8" s="33"/>
    </row>
    <row r="9" customFormat="false" ht="21.75" hidden="false" customHeight="true" outlineLevel="0" collapsed="false">
      <c r="B9" s="34" t="s">
        <v>54</v>
      </c>
      <c r="C9" s="34"/>
      <c r="D9" s="34" t="s">
        <v>55</v>
      </c>
      <c r="E9" s="34"/>
      <c r="F9" s="34" t="s">
        <v>56</v>
      </c>
      <c r="G9" s="34"/>
      <c r="H9" s="34" t="s">
        <v>57</v>
      </c>
      <c r="I9" s="34"/>
    </row>
    <row r="10" customFormat="false" ht="21.75" hidden="false" customHeight="true" outlineLevel="0" collapsed="false">
      <c r="B10" s="35" t="s">
        <v>58</v>
      </c>
      <c r="C10" s="35"/>
      <c r="D10" s="35" t="s">
        <v>59</v>
      </c>
      <c r="E10" s="35"/>
      <c r="F10" s="36" t="s">
        <v>60</v>
      </c>
      <c r="G10" s="36"/>
      <c r="H10" s="37" t="s">
        <v>61</v>
      </c>
      <c r="I10" s="37"/>
      <c r="J10" s="37"/>
    </row>
    <row r="11" customFormat="false" ht="7.5" hidden="false" customHeight="true" outlineLevel="0" collapsed="false"/>
    <row r="12" customFormat="false" ht="24" hidden="false" customHeight="true" outlineLevel="0" collapsed="false">
      <c r="B12" s="38" t="s">
        <v>62</v>
      </c>
      <c r="C12" s="38" t="s">
        <v>63</v>
      </c>
      <c r="D12" s="38" t="s">
        <v>64</v>
      </c>
      <c r="E12" s="38" t="s">
        <v>65</v>
      </c>
      <c r="F12" s="38" t="s">
        <v>66</v>
      </c>
      <c r="G12" s="38" t="s">
        <v>67</v>
      </c>
      <c r="H12" s="38" t="s">
        <v>68</v>
      </c>
      <c r="I12" s="38" t="s">
        <v>69</v>
      </c>
      <c r="J12" s="38" t="s">
        <v>70</v>
      </c>
    </row>
    <row r="13" customFormat="false" ht="19.5" hidden="false" customHeight="true" outlineLevel="0" collapsed="false">
      <c r="B13" s="16" t="s">
        <v>71</v>
      </c>
      <c r="C13" s="16" t="s">
        <v>72</v>
      </c>
      <c r="D13" s="14" t="s">
        <v>73</v>
      </c>
      <c r="E13" s="39" t="s">
        <v>74</v>
      </c>
      <c r="F13" s="16" t="s">
        <v>75</v>
      </c>
      <c r="G13" s="18" t="s">
        <v>75</v>
      </c>
      <c r="H13" s="40" t="s">
        <v>26</v>
      </c>
      <c r="I13" s="16" t="s">
        <v>76</v>
      </c>
      <c r="J13" s="20" t="s">
        <v>77</v>
      </c>
    </row>
    <row r="14" customFormat="false" ht="19.5" hidden="false" customHeight="true" outlineLevel="0" collapsed="false">
      <c r="B14" s="23" t="s">
        <v>78</v>
      </c>
      <c r="C14" s="23" t="s">
        <v>79</v>
      </c>
      <c r="D14" s="21" t="s">
        <v>80</v>
      </c>
      <c r="E14" s="39" t="s">
        <v>74</v>
      </c>
      <c r="F14" s="23" t="s">
        <v>75</v>
      </c>
      <c r="G14" s="18" t="s">
        <v>75</v>
      </c>
      <c r="H14" s="40" t="s">
        <v>26</v>
      </c>
      <c r="I14" s="23" t="s">
        <v>81</v>
      </c>
      <c r="J14" s="25" t="s">
        <v>82</v>
      </c>
    </row>
    <row r="15" customFormat="false" ht="19.5" hidden="false" customHeight="true" outlineLevel="0" collapsed="false">
      <c r="B15" s="16" t="s">
        <v>83</v>
      </c>
      <c r="C15" s="16" t="s">
        <v>72</v>
      </c>
      <c r="D15" s="14" t="s">
        <v>73</v>
      </c>
      <c r="E15" s="39" t="s">
        <v>74</v>
      </c>
      <c r="F15" s="16" t="s">
        <v>75</v>
      </c>
      <c r="G15" s="18" t="s">
        <v>75</v>
      </c>
      <c r="H15" s="40" t="s">
        <v>26</v>
      </c>
      <c r="I15" s="16" t="s">
        <v>84</v>
      </c>
      <c r="J15" s="20" t="s">
        <v>77</v>
      </c>
    </row>
    <row r="16" customFormat="false" ht="19.5" hidden="false" customHeight="true" outlineLevel="0" collapsed="false">
      <c r="B16" s="23" t="s">
        <v>85</v>
      </c>
      <c r="C16" s="23" t="s">
        <v>72</v>
      </c>
      <c r="D16" s="21" t="s">
        <v>73</v>
      </c>
      <c r="E16" s="39" t="s">
        <v>74</v>
      </c>
      <c r="F16" s="23" t="s">
        <v>75</v>
      </c>
      <c r="G16" s="18" t="s">
        <v>75</v>
      </c>
      <c r="H16" s="40" t="s">
        <v>26</v>
      </c>
      <c r="I16" s="23" t="s">
        <v>86</v>
      </c>
      <c r="J16" s="25" t="s">
        <v>77</v>
      </c>
    </row>
    <row r="17" customFormat="false" ht="19.5" hidden="false" customHeight="true" outlineLevel="0" collapsed="false">
      <c r="B17" s="16" t="s">
        <v>87</v>
      </c>
      <c r="C17" s="16" t="s">
        <v>79</v>
      </c>
      <c r="D17" s="14" t="s">
        <v>80</v>
      </c>
      <c r="E17" s="41" t="s">
        <v>88</v>
      </c>
      <c r="F17" s="16" t="s">
        <v>75</v>
      </c>
      <c r="G17" s="18" t="s">
        <v>75</v>
      </c>
      <c r="H17" s="40" t="s">
        <v>26</v>
      </c>
      <c r="I17" s="16" t="s">
        <v>89</v>
      </c>
      <c r="J17" s="42" t="s">
        <v>90</v>
      </c>
    </row>
    <row r="18" customFormat="false" ht="19.5" hidden="false" customHeight="true" outlineLevel="0" collapsed="false">
      <c r="B18" s="23" t="s">
        <v>91</v>
      </c>
      <c r="C18" s="23" t="s">
        <v>92</v>
      </c>
      <c r="D18" s="21" t="s">
        <v>92</v>
      </c>
      <c r="E18" s="39" t="s">
        <v>74</v>
      </c>
      <c r="F18" s="23" t="s">
        <v>92</v>
      </c>
      <c r="G18" s="18" t="s">
        <v>92</v>
      </c>
      <c r="H18" s="40" t="s">
        <v>26</v>
      </c>
      <c r="I18" s="23" t="s">
        <v>93</v>
      </c>
      <c r="J18" s="25" t="s">
        <v>77</v>
      </c>
    </row>
    <row r="36" customFormat="false" ht="9.75" hidden="false" customHeight="true" outlineLevel="0" collapsed="false">
      <c r="B36" s="32"/>
      <c r="C36" s="32"/>
      <c r="D36" s="32"/>
      <c r="E36" s="32"/>
      <c r="F36" s="32"/>
      <c r="G36" s="32"/>
      <c r="H36" s="32"/>
      <c r="I36" s="32"/>
      <c r="J36" s="32"/>
    </row>
    <row r="37" customFormat="false" ht="27.75" hidden="false" customHeight="true" outlineLevel="0" collapsed="false">
      <c r="B37" s="43" t="s">
        <v>94</v>
      </c>
      <c r="C37" s="43"/>
      <c r="D37" s="43"/>
      <c r="E37" s="43"/>
      <c r="F37" s="43"/>
      <c r="G37" s="43"/>
      <c r="H37" s="43"/>
      <c r="I37" s="43"/>
      <c r="J37" s="43"/>
    </row>
    <row r="38" customFormat="false" ht="21.75" hidden="false" customHeight="true" outlineLevel="0" collapsed="false">
      <c r="B38" s="34" t="s">
        <v>95</v>
      </c>
      <c r="C38" s="34"/>
      <c r="D38" s="34" t="s">
        <v>96</v>
      </c>
      <c r="E38" s="34"/>
      <c r="F38" s="34" t="s">
        <v>56</v>
      </c>
      <c r="G38" s="34"/>
      <c r="H38" s="34" t="s">
        <v>57</v>
      </c>
      <c r="I38" s="34"/>
    </row>
    <row r="39" customFormat="false" ht="21.75" hidden="false" customHeight="true" outlineLevel="0" collapsed="false">
      <c r="B39" s="35" t="s">
        <v>58</v>
      </c>
      <c r="C39" s="35"/>
      <c r="D39" s="35" t="s">
        <v>59</v>
      </c>
      <c r="E39" s="35"/>
      <c r="F39" s="36" t="s">
        <v>60</v>
      </c>
      <c r="G39" s="36"/>
      <c r="H39" s="37" t="s">
        <v>97</v>
      </c>
      <c r="I39" s="37"/>
      <c r="J39" s="37"/>
    </row>
    <row r="40" customFormat="false" ht="7.5" hidden="false" customHeight="true" outlineLevel="0" collapsed="false"/>
    <row r="41" customFormat="false" ht="24" hidden="false" customHeight="true" outlineLevel="0" collapsed="false">
      <c r="B41" s="44" t="s">
        <v>62</v>
      </c>
      <c r="C41" s="44" t="s">
        <v>63</v>
      </c>
      <c r="D41" s="44" t="s">
        <v>64</v>
      </c>
      <c r="E41" s="44" t="s">
        <v>65</v>
      </c>
      <c r="F41" s="44" t="s">
        <v>66</v>
      </c>
      <c r="G41" s="44" t="s">
        <v>67</v>
      </c>
      <c r="H41" s="44" t="s">
        <v>68</v>
      </c>
      <c r="I41" s="44" t="s">
        <v>69</v>
      </c>
      <c r="J41" s="44" t="s">
        <v>70</v>
      </c>
    </row>
    <row r="42" customFormat="false" ht="19.5" hidden="false" customHeight="true" outlineLevel="0" collapsed="false">
      <c r="B42" s="16" t="s">
        <v>98</v>
      </c>
      <c r="C42" s="16" t="s">
        <v>79</v>
      </c>
      <c r="D42" s="14" t="s">
        <v>80</v>
      </c>
      <c r="E42" s="39" t="s">
        <v>74</v>
      </c>
      <c r="F42" s="16" t="s">
        <v>75</v>
      </c>
      <c r="G42" s="18" t="s">
        <v>75</v>
      </c>
      <c r="H42" s="40" t="s">
        <v>26</v>
      </c>
      <c r="I42" s="16" t="s">
        <v>99</v>
      </c>
      <c r="J42" s="20" t="s">
        <v>32</v>
      </c>
    </row>
    <row r="43" customFormat="false" ht="19.5" hidden="false" customHeight="true" outlineLevel="0" collapsed="false">
      <c r="B43" s="23" t="s">
        <v>100</v>
      </c>
      <c r="C43" s="23" t="s">
        <v>101</v>
      </c>
      <c r="D43" s="21" t="s">
        <v>102</v>
      </c>
      <c r="E43" s="39" t="s">
        <v>74</v>
      </c>
      <c r="F43" s="23" t="s">
        <v>75</v>
      </c>
      <c r="G43" s="18" t="s">
        <v>75</v>
      </c>
      <c r="H43" s="40" t="s">
        <v>26</v>
      </c>
      <c r="I43" s="23" t="s">
        <v>103</v>
      </c>
      <c r="J43" s="25" t="s">
        <v>77</v>
      </c>
    </row>
    <row r="44" customFormat="false" ht="19.5" hidden="false" customHeight="true" outlineLevel="0" collapsed="false">
      <c r="B44" s="16" t="s">
        <v>104</v>
      </c>
      <c r="C44" s="16" t="s">
        <v>92</v>
      </c>
      <c r="D44" s="14" t="s">
        <v>92</v>
      </c>
      <c r="E44" s="39" t="s">
        <v>74</v>
      </c>
      <c r="F44" s="16" t="s">
        <v>92</v>
      </c>
      <c r="G44" s="18" t="s">
        <v>92</v>
      </c>
      <c r="H44" s="40" t="s">
        <v>26</v>
      </c>
      <c r="I44" s="16" t="s">
        <v>93</v>
      </c>
      <c r="J44" s="20" t="s">
        <v>105</v>
      </c>
    </row>
    <row r="45" customFormat="false" ht="19.5" hidden="false" customHeight="true" outlineLevel="0" collapsed="false">
      <c r="B45" s="23" t="s">
        <v>106</v>
      </c>
      <c r="C45" s="23" t="s">
        <v>101</v>
      </c>
      <c r="D45" s="21" t="s">
        <v>102</v>
      </c>
      <c r="E45" s="39" t="s">
        <v>74</v>
      </c>
      <c r="F45" s="23" t="s">
        <v>75</v>
      </c>
      <c r="G45" s="18" t="s">
        <v>75</v>
      </c>
      <c r="H45" s="40" t="s">
        <v>26</v>
      </c>
      <c r="I45" s="23" t="s">
        <v>107</v>
      </c>
      <c r="J45" s="25" t="s">
        <v>32</v>
      </c>
    </row>
    <row r="46" customFormat="false" ht="19.5" hidden="false" customHeight="true" outlineLevel="0" collapsed="false">
      <c r="B46" s="16" t="s">
        <v>108</v>
      </c>
      <c r="C46" s="16" t="s">
        <v>72</v>
      </c>
      <c r="D46" s="14" t="s">
        <v>73</v>
      </c>
      <c r="E46" s="39" t="s">
        <v>74</v>
      </c>
      <c r="F46" s="16" t="s">
        <v>75</v>
      </c>
      <c r="G46" s="18" t="s">
        <v>75</v>
      </c>
      <c r="H46" s="40" t="s">
        <v>26</v>
      </c>
      <c r="I46" s="16" t="s">
        <v>109</v>
      </c>
      <c r="J46" s="20" t="s">
        <v>105</v>
      </c>
    </row>
    <row r="47" customFormat="false" ht="19.5" hidden="false" customHeight="true" outlineLevel="0" collapsed="false">
      <c r="B47" s="23" t="s">
        <v>110</v>
      </c>
      <c r="C47" s="23" t="s">
        <v>111</v>
      </c>
      <c r="D47" s="21" t="s">
        <v>112</v>
      </c>
      <c r="E47" s="39" t="s">
        <v>74</v>
      </c>
      <c r="F47" s="23" t="s">
        <v>75</v>
      </c>
      <c r="G47" s="18" t="s">
        <v>75</v>
      </c>
      <c r="H47" s="40" t="s">
        <v>26</v>
      </c>
      <c r="I47" s="23" t="s">
        <v>113</v>
      </c>
      <c r="J47" s="25" t="s">
        <v>77</v>
      </c>
    </row>
    <row r="60" customFormat="false" ht="15" hidden="false" customHeight="false" outlineLevel="0" collapsed="false">
      <c r="A60" s="0" t="s">
        <v>62</v>
      </c>
      <c r="B60" s="0" t="s">
        <v>69</v>
      </c>
      <c r="C60" s="0" t="s">
        <v>114</v>
      </c>
    </row>
    <row r="61" customFormat="false" ht="15" hidden="false" customHeight="false" outlineLevel="0" collapsed="false">
      <c r="A61" s="0" t="s">
        <v>115</v>
      </c>
      <c r="B61" s="0" t="n">
        <v>29.7</v>
      </c>
      <c r="C61" s="0" t="n">
        <v>99</v>
      </c>
    </row>
    <row r="62" customFormat="false" ht="15" hidden="false" customHeight="false" outlineLevel="0" collapsed="false">
      <c r="A62" s="0" t="s">
        <v>116</v>
      </c>
      <c r="B62" s="0" t="n">
        <v>26.44</v>
      </c>
      <c r="C62" s="0" t="n">
        <v>99.5</v>
      </c>
    </row>
    <row r="63" customFormat="false" ht="15" hidden="false" customHeight="false" outlineLevel="0" collapsed="false">
      <c r="A63" s="0" t="s">
        <v>117</v>
      </c>
      <c r="B63" s="0" t="n">
        <v>26.53</v>
      </c>
      <c r="C63" s="0" t="n">
        <v>99</v>
      </c>
    </row>
    <row r="64" customFormat="false" ht="15" hidden="false" customHeight="false" outlineLevel="0" collapsed="false">
      <c r="A64" s="0" t="s">
        <v>118</v>
      </c>
      <c r="B64" s="0" t="n">
        <v>23.51</v>
      </c>
      <c r="C64" s="0" t="n">
        <v>99</v>
      </c>
    </row>
    <row r="65" customFormat="false" ht="15" hidden="false" customHeight="false" outlineLevel="0" collapsed="false">
      <c r="A65" s="0" t="s">
        <v>119</v>
      </c>
      <c r="B65" s="0" t="n">
        <v>31.05</v>
      </c>
      <c r="C65" s="0" t="n">
        <v>84.8</v>
      </c>
    </row>
    <row r="66" customFormat="false" ht="15" hidden="false" customHeight="false" outlineLevel="0" collapsed="false">
      <c r="A66" s="0" t="s">
        <v>120</v>
      </c>
      <c r="C66" s="0" t="n">
        <v>99</v>
      </c>
    </row>
    <row r="75" customFormat="false" ht="15" hidden="false" customHeight="false" outlineLevel="0" collapsed="false">
      <c r="A75" s="0" t="s">
        <v>62</v>
      </c>
      <c r="B75" s="0" t="s">
        <v>69</v>
      </c>
      <c r="C75" s="0" t="s">
        <v>114</v>
      </c>
    </row>
    <row r="76" customFormat="false" ht="15" hidden="false" customHeight="false" outlineLevel="0" collapsed="false">
      <c r="A76" s="0" t="s">
        <v>115</v>
      </c>
      <c r="B76" s="0" t="n">
        <v>25.49</v>
      </c>
      <c r="C76" s="0" t="n">
        <v>98.5</v>
      </c>
    </row>
    <row r="77" customFormat="false" ht="15" hidden="false" customHeight="false" outlineLevel="0" collapsed="false">
      <c r="A77" s="0" t="s">
        <v>116</v>
      </c>
      <c r="B77" s="0" t="n">
        <v>26.63</v>
      </c>
      <c r="C77" s="0" t="n">
        <v>99</v>
      </c>
    </row>
    <row r="78" customFormat="false" ht="15" hidden="false" customHeight="false" outlineLevel="0" collapsed="false">
      <c r="A78" s="0" t="s">
        <v>117</v>
      </c>
      <c r="C78" s="0" t="n">
        <v>98</v>
      </c>
    </row>
    <row r="79" customFormat="false" ht="15" hidden="false" customHeight="false" outlineLevel="0" collapsed="false">
      <c r="A79" s="0" t="s">
        <v>118</v>
      </c>
      <c r="B79" s="0" t="n">
        <v>26.54</v>
      </c>
      <c r="C79" s="0" t="n">
        <v>98.5</v>
      </c>
    </row>
    <row r="80" customFormat="false" ht="15" hidden="false" customHeight="false" outlineLevel="0" collapsed="false">
      <c r="A80" s="0" t="s">
        <v>119</v>
      </c>
      <c r="B80" s="0" t="n">
        <v>26.75</v>
      </c>
      <c r="C80" s="0" t="n">
        <v>98</v>
      </c>
    </row>
    <row r="81" customFormat="false" ht="15" hidden="false" customHeight="false" outlineLevel="0" collapsed="false">
      <c r="A81" s="0" t="s">
        <v>120</v>
      </c>
      <c r="B81" s="0" t="n">
        <v>27.16</v>
      </c>
      <c r="C81" s="0" t="n">
        <v>99</v>
      </c>
    </row>
  </sheetData>
  <mergeCells count="23">
    <mergeCell ref="B2:J2"/>
    <mergeCell ref="B3:J3"/>
    <mergeCell ref="B5:C5"/>
    <mergeCell ref="B7:J7"/>
    <mergeCell ref="B8:J8"/>
    <mergeCell ref="B9:C9"/>
    <mergeCell ref="D9:E9"/>
    <mergeCell ref="F9:G9"/>
    <mergeCell ref="H9:I9"/>
    <mergeCell ref="B10:C10"/>
    <mergeCell ref="D10:E10"/>
    <mergeCell ref="F10:G10"/>
    <mergeCell ref="H10:J10"/>
    <mergeCell ref="B36:J36"/>
    <mergeCell ref="B37:J37"/>
    <mergeCell ref="B38:C38"/>
    <mergeCell ref="D38:E38"/>
    <mergeCell ref="F38:G38"/>
    <mergeCell ref="H38:I38"/>
    <mergeCell ref="B39:C39"/>
    <mergeCell ref="D39:E39"/>
    <mergeCell ref="F39:G39"/>
    <mergeCell ref="H39:J39"/>
  </mergeCells>
  <hyperlinks>
    <hyperlink ref="B5" r:id="rId1" location="Dashboard!A1" display="← Dashboar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1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24"/>
    <col collapsed="false" customWidth="true" hidden="false" outlineLevel="0" max="7" min="5" style="0" width="12"/>
    <col collapsed="false" customWidth="true" hidden="false" outlineLevel="0" max="9" min="8" style="0" width="13"/>
    <col collapsed="false" customWidth="true" hidden="false" outlineLevel="0" max="10" min="10" style="0" width="16"/>
    <col collapsed="false" customWidth="true" hidden="false" outlineLevel="0" max="11" min="11" style="0" width="2"/>
  </cols>
  <sheetData>
    <row r="1" customFormat="false" ht="6" hidden="false" customHeight="true" outlineLevel="0" collapsed="false"/>
    <row r="2" customFormat="false" ht="45.75" hidden="false" customHeight="true" outlineLevel="0" collapsed="false">
      <c r="B2" s="30" t="s">
        <v>121</v>
      </c>
      <c r="C2" s="30"/>
      <c r="D2" s="30"/>
      <c r="E2" s="30"/>
      <c r="F2" s="30"/>
      <c r="G2" s="30"/>
      <c r="H2" s="30"/>
      <c r="I2" s="30"/>
      <c r="J2" s="30"/>
    </row>
    <row r="3" customFormat="false" ht="25.5" hidden="false" customHeight="true" outlineLevel="0" collapsed="false">
      <c r="B3" s="2" t="s">
        <v>51</v>
      </c>
      <c r="C3" s="2"/>
      <c r="D3" s="2"/>
      <c r="E3" s="2"/>
      <c r="F3" s="2"/>
      <c r="G3" s="2"/>
      <c r="H3" s="2"/>
      <c r="I3" s="2"/>
      <c r="J3" s="2"/>
    </row>
    <row r="4" customFormat="false" ht="7.5" hidden="false" customHeight="true" outlineLevel="0" collapsed="false"/>
    <row r="5" customFormat="false" ht="19.5" hidden="false" customHeight="true" outlineLevel="0" collapsed="false">
      <c r="B5" s="31" t="s">
        <v>52</v>
      </c>
      <c r="C5" s="31"/>
    </row>
    <row r="7" customFormat="false" ht="9.75" hidden="false" customHeight="true" outlineLevel="0" collapsed="false">
      <c r="B7" s="32"/>
      <c r="C7" s="32"/>
      <c r="D7" s="32"/>
      <c r="E7" s="32"/>
      <c r="F7" s="32"/>
      <c r="G7" s="32"/>
      <c r="H7" s="32"/>
      <c r="I7" s="32"/>
      <c r="J7" s="32"/>
    </row>
    <row r="8" customFormat="false" ht="27.75" hidden="false" customHeight="true" outlineLevel="0" collapsed="false">
      <c r="B8" s="33" t="s">
        <v>122</v>
      </c>
      <c r="C8" s="33"/>
      <c r="D8" s="33"/>
      <c r="E8" s="33"/>
      <c r="F8" s="33"/>
      <c r="G8" s="33"/>
      <c r="H8" s="33"/>
      <c r="I8" s="33"/>
      <c r="J8" s="33"/>
    </row>
    <row r="9" customFormat="false" ht="21.75" hidden="false" customHeight="true" outlineLevel="0" collapsed="false">
      <c r="B9" s="34" t="s">
        <v>123</v>
      </c>
      <c r="C9" s="34"/>
      <c r="D9" s="34" t="s">
        <v>124</v>
      </c>
      <c r="E9" s="34"/>
      <c r="F9" s="34" t="s">
        <v>125</v>
      </c>
      <c r="G9" s="34"/>
      <c r="H9" s="34" t="s">
        <v>57</v>
      </c>
      <c r="I9" s="34"/>
    </row>
    <row r="10" customFormat="false" ht="21.75" hidden="false" customHeight="true" outlineLevel="0" collapsed="false">
      <c r="B10" s="35" t="s">
        <v>58</v>
      </c>
      <c r="C10" s="35"/>
      <c r="D10" s="35" t="s">
        <v>59</v>
      </c>
      <c r="E10" s="35"/>
      <c r="F10" s="36" t="s">
        <v>60</v>
      </c>
      <c r="G10" s="36"/>
      <c r="H10" s="37" t="s">
        <v>97</v>
      </c>
      <c r="I10" s="37"/>
      <c r="J10" s="37"/>
    </row>
    <row r="11" customFormat="false" ht="7.5" hidden="false" customHeight="true" outlineLevel="0" collapsed="false"/>
    <row r="12" customFormat="false" ht="24" hidden="false" customHeight="true" outlineLevel="0" collapsed="false">
      <c r="B12" s="38" t="s">
        <v>62</v>
      </c>
      <c r="C12" s="38" t="s">
        <v>63</v>
      </c>
      <c r="D12" s="38" t="s">
        <v>64</v>
      </c>
      <c r="E12" s="38" t="s">
        <v>65</v>
      </c>
      <c r="F12" s="38" t="s">
        <v>66</v>
      </c>
      <c r="G12" s="38" t="s">
        <v>67</v>
      </c>
      <c r="H12" s="38" t="s">
        <v>68</v>
      </c>
      <c r="I12" s="38" t="s">
        <v>69</v>
      </c>
      <c r="J12" s="38" t="s">
        <v>70</v>
      </c>
    </row>
    <row r="13" customFormat="false" ht="19.5" hidden="false" customHeight="true" outlineLevel="0" collapsed="false">
      <c r="B13" s="16" t="s">
        <v>126</v>
      </c>
      <c r="C13" s="16" t="s">
        <v>79</v>
      </c>
      <c r="D13" s="14" t="s">
        <v>80</v>
      </c>
      <c r="E13" s="39" t="s">
        <v>74</v>
      </c>
      <c r="F13" s="16" t="s">
        <v>75</v>
      </c>
      <c r="G13" s="18" t="s">
        <v>75</v>
      </c>
      <c r="H13" s="40" t="s">
        <v>26</v>
      </c>
      <c r="I13" s="16" t="s">
        <v>127</v>
      </c>
      <c r="J13" s="20" t="s">
        <v>28</v>
      </c>
    </row>
    <row r="14" customFormat="false" ht="19.5" hidden="false" customHeight="true" outlineLevel="0" collapsed="false">
      <c r="B14" s="23" t="s">
        <v>128</v>
      </c>
      <c r="C14" s="23" t="s">
        <v>72</v>
      </c>
      <c r="D14" s="21" t="s">
        <v>73</v>
      </c>
      <c r="E14" s="39" t="s">
        <v>74</v>
      </c>
      <c r="F14" s="23" t="s">
        <v>75</v>
      </c>
      <c r="G14" s="18" t="s">
        <v>75</v>
      </c>
      <c r="H14" s="40" t="s">
        <v>26</v>
      </c>
      <c r="I14" s="23" t="s">
        <v>129</v>
      </c>
      <c r="J14" s="25" t="s">
        <v>130</v>
      </c>
    </row>
    <row r="15" customFormat="false" ht="19.5" hidden="false" customHeight="true" outlineLevel="0" collapsed="false">
      <c r="B15" s="16" t="s">
        <v>131</v>
      </c>
      <c r="C15" s="16" t="s">
        <v>72</v>
      </c>
      <c r="D15" s="14" t="s">
        <v>73</v>
      </c>
      <c r="E15" s="39" t="s">
        <v>74</v>
      </c>
      <c r="F15" s="16" t="s">
        <v>75</v>
      </c>
      <c r="G15" s="18" t="s">
        <v>75</v>
      </c>
      <c r="H15" s="40" t="s">
        <v>26</v>
      </c>
      <c r="I15" s="16" t="s">
        <v>132</v>
      </c>
      <c r="J15" s="20" t="s">
        <v>133</v>
      </c>
    </row>
    <row r="16" customFormat="false" ht="19.5" hidden="false" customHeight="true" outlineLevel="0" collapsed="false">
      <c r="B16" s="23" t="s">
        <v>134</v>
      </c>
      <c r="C16" s="23" t="s">
        <v>79</v>
      </c>
      <c r="D16" s="21" t="s">
        <v>80</v>
      </c>
      <c r="E16" s="39" t="s">
        <v>74</v>
      </c>
      <c r="F16" s="23" t="s">
        <v>75</v>
      </c>
      <c r="G16" s="18" t="s">
        <v>75</v>
      </c>
      <c r="H16" s="40" t="s">
        <v>26</v>
      </c>
      <c r="I16" s="23" t="s">
        <v>135</v>
      </c>
      <c r="J16" s="25" t="s">
        <v>133</v>
      </c>
    </row>
    <row r="17" customFormat="false" ht="19.5" hidden="false" customHeight="true" outlineLevel="0" collapsed="false">
      <c r="B17" s="16" t="s">
        <v>136</v>
      </c>
      <c r="C17" s="16" t="s">
        <v>92</v>
      </c>
      <c r="D17" s="14" t="s">
        <v>92</v>
      </c>
      <c r="E17" s="39" t="s">
        <v>74</v>
      </c>
      <c r="F17" s="16" t="s">
        <v>92</v>
      </c>
      <c r="G17" s="18" t="s">
        <v>92</v>
      </c>
      <c r="H17" s="40" t="s">
        <v>26</v>
      </c>
      <c r="I17" s="16" t="s">
        <v>93</v>
      </c>
      <c r="J17" s="20" t="s">
        <v>105</v>
      </c>
    </row>
    <row r="18" customFormat="false" ht="19.5" hidden="false" customHeight="true" outlineLevel="0" collapsed="false">
      <c r="B18" s="23" t="s">
        <v>137</v>
      </c>
      <c r="C18" s="23" t="s">
        <v>138</v>
      </c>
      <c r="D18" s="21" t="s">
        <v>73</v>
      </c>
      <c r="E18" s="39" t="s">
        <v>74</v>
      </c>
      <c r="F18" s="23" t="s">
        <v>75</v>
      </c>
      <c r="G18" s="18" t="s">
        <v>75</v>
      </c>
      <c r="H18" s="40" t="s">
        <v>26</v>
      </c>
      <c r="I18" s="23" t="s">
        <v>139</v>
      </c>
      <c r="J18" s="42" t="s">
        <v>140</v>
      </c>
    </row>
    <row r="36" customFormat="false" ht="9.75" hidden="false" customHeight="true" outlineLevel="0" collapsed="false">
      <c r="B36" s="32"/>
      <c r="C36" s="32"/>
      <c r="D36" s="32"/>
      <c r="E36" s="32"/>
      <c r="F36" s="32"/>
      <c r="G36" s="32"/>
      <c r="H36" s="32"/>
      <c r="I36" s="32"/>
      <c r="J36" s="32"/>
    </row>
    <row r="37" customFormat="false" ht="27.75" hidden="false" customHeight="true" outlineLevel="0" collapsed="false">
      <c r="B37" s="43" t="s">
        <v>141</v>
      </c>
      <c r="C37" s="43"/>
      <c r="D37" s="43"/>
      <c r="E37" s="43"/>
      <c r="F37" s="43"/>
      <c r="G37" s="43"/>
      <c r="H37" s="43"/>
      <c r="I37" s="43"/>
      <c r="J37" s="43"/>
    </row>
    <row r="38" customFormat="false" ht="21.75" hidden="false" customHeight="true" outlineLevel="0" collapsed="false">
      <c r="B38" s="34" t="s">
        <v>142</v>
      </c>
      <c r="C38" s="34"/>
      <c r="D38" s="34" t="s">
        <v>124</v>
      </c>
      <c r="E38" s="34"/>
      <c r="F38" s="34" t="s">
        <v>125</v>
      </c>
      <c r="G38" s="34"/>
      <c r="H38" s="34" t="s">
        <v>57</v>
      </c>
      <c r="I38" s="34"/>
    </row>
    <row r="39" customFormat="false" ht="21.75" hidden="false" customHeight="true" outlineLevel="0" collapsed="false">
      <c r="B39" s="35" t="s">
        <v>58</v>
      </c>
      <c r="C39" s="35"/>
      <c r="D39" s="35" t="s">
        <v>59</v>
      </c>
      <c r="E39" s="35"/>
      <c r="F39" s="36" t="s">
        <v>60</v>
      </c>
      <c r="G39" s="36"/>
      <c r="H39" s="37" t="s">
        <v>143</v>
      </c>
      <c r="I39" s="37"/>
      <c r="J39" s="37"/>
    </row>
    <row r="40" customFormat="false" ht="7.5" hidden="false" customHeight="true" outlineLevel="0" collapsed="false"/>
    <row r="41" customFormat="false" ht="24" hidden="false" customHeight="true" outlineLevel="0" collapsed="false">
      <c r="B41" s="44" t="s">
        <v>62</v>
      </c>
      <c r="C41" s="44" t="s">
        <v>63</v>
      </c>
      <c r="D41" s="44" t="s">
        <v>64</v>
      </c>
      <c r="E41" s="44" t="s">
        <v>65</v>
      </c>
      <c r="F41" s="44" t="s">
        <v>66</v>
      </c>
      <c r="G41" s="44" t="s">
        <v>67</v>
      </c>
      <c r="H41" s="44" t="s">
        <v>68</v>
      </c>
      <c r="I41" s="44" t="s">
        <v>69</v>
      </c>
      <c r="J41" s="44" t="s">
        <v>70</v>
      </c>
    </row>
    <row r="42" customFormat="false" ht="19.5" hidden="false" customHeight="true" outlineLevel="0" collapsed="false">
      <c r="B42" s="16" t="s">
        <v>144</v>
      </c>
      <c r="C42" s="16" t="s">
        <v>79</v>
      </c>
      <c r="D42" s="14" t="s">
        <v>80</v>
      </c>
      <c r="E42" s="39" t="s">
        <v>74</v>
      </c>
      <c r="F42" s="16" t="s">
        <v>75</v>
      </c>
      <c r="G42" s="18" t="s">
        <v>75</v>
      </c>
      <c r="H42" s="40" t="s">
        <v>26</v>
      </c>
      <c r="I42" s="16" t="s">
        <v>145</v>
      </c>
      <c r="J42" s="20" t="s">
        <v>146</v>
      </c>
    </row>
    <row r="43" customFormat="false" ht="19.5" hidden="false" customHeight="true" outlineLevel="0" collapsed="false">
      <c r="B43" s="23" t="s">
        <v>147</v>
      </c>
      <c r="C43" s="23" t="s">
        <v>101</v>
      </c>
      <c r="D43" s="21" t="s">
        <v>102</v>
      </c>
      <c r="E43" s="39" t="s">
        <v>74</v>
      </c>
      <c r="F43" s="23" t="s">
        <v>75</v>
      </c>
      <c r="G43" s="18" t="s">
        <v>75</v>
      </c>
      <c r="H43" s="40" t="s">
        <v>26</v>
      </c>
      <c r="I43" s="23" t="s">
        <v>148</v>
      </c>
      <c r="J43" s="25" t="s">
        <v>149</v>
      </c>
    </row>
    <row r="44" customFormat="false" ht="19.5" hidden="false" customHeight="true" outlineLevel="0" collapsed="false">
      <c r="B44" s="16" t="s">
        <v>150</v>
      </c>
      <c r="C44" s="16" t="s">
        <v>72</v>
      </c>
      <c r="D44" s="14" t="s">
        <v>73</v>
      </c>
      <c r="E44" s="39" t="s">
        <v>74</v>
      </c>
      <c r="F44" s="16" t="s">
        <v>75</v>
      </c>
      <c r="G44" s="18" t="s">
        <v>75</v>
      </c>
      <c r="H44" s="40" t="s">
        <v>26</v>
      </c>
      <c r="I44" s="16" t="s">
        <v>151</v>
      </c>
      <c r="J44" s="20" t="s">
        <v>105</v>
      </c>
    </row>
    <row r="45" customFormat="false" ht="19.5" hidden="false" customHeight="true" outlineLevel="0" collapsed="false">
      <c r="B45" s="23" t="s">
        <v>152</v>
      </c>
      <c r="C45" s="23" t="s">
        <v>92</v>
      </c>
      <c r="D45" s="21" t="s">
        <v>92</v>
      </c>
      <c r="E45" s="39" t="s">
        <v>74</v>
      </c>
      <c r="F45" s="23" t="s">
        <v>92</v>
      </c>
      <c r="G45" s="18" t="s">
        <v>92</v>
      </c>
      <c r="H45" s="40" t="s">
        <v>26</v>
      </c>
      <c r="I45" s="23" t="s">
        <v>93</v>
      </c>
      <c r="J45" s="25" t="s">
        <v>130</v>
      </c>
    </row>
    <row r="46" customFormat="false" ht="19.5" hidden="false" customHeight="true" outlineLevel="0" collapsed="false">
      <c r="B46" s="16" t="s">
        <v>153</v>
      </c>
      <c r="C46" s="16" t="s">
        <v>101</v>
      </c>
      <c r="D46" s="14" t="s">
        <v>102</v>
      </c>
      <c r="E46" s="39" t="s">
        <v>74</v>
      </c>
      <c r="F46" s="16" t="s">
        <v>75</v>
      </c>
      <c r="G46" s="18" t="s">
        <v>75</v>
      </c>
      <c r="H46" s="40" t="s">
        <v>26</v>
      </c>
      <c r="I46" s="16" t="s">
        <v>154</v>
      </c>
      <c r="J46" s="20" t="s">
        <v>149</v>
      </c>
    </row>
    <row r="47" customFormat="false" ht="19.5" hidden="false" customHeight="true" outlineLevel="0" collapsed="false">
      <c r="B47" s="23" t="s">
        <v>155</v>
      </c>
      <c r="C47" s="23" t="s">
        <v>79</v>
      </c>
      <c r="D47" s="21" t="s">
        <v>80</v>
      </c>
      <c r="E47" s="39" t="s">
        <v>74</v>
      </c>
      <c r="F47" s="23" t="s">
        <v>75</v>
      </c>
      <c r="G47" s="18" t="s">
        <v>75</v>
      </c>
      <c r="H47" s="40" t="s">
        <v>26</v>
      </c>
      <c r="I47" s="23" t="s">
        <v>156</v>
      </c>
      <c r="J47" s="25" t="s">
        <v>146</v>
      </c>
    </row>
    <row r="60" customFormat="false" ht="15" hidden="false" customHeight="false" outlineLevel="0" collapsed="false">
      <c r="A60" s="0" t="s">
        <v>62</v>
      </c>
      <c r="B60" s="0" t="s">
        <v>69</v>
      </c>
      <c r="C60" s="0" t="s">
        <v>114</v>
      </c>
    </row>
    <row r="61" customFormat="false" ht="15" hidden="false" customHeight="false" outlineLevel="0" collapsed="false">
      <c r="A61" s="0" t="s">
        <v>115</v>
      </c>
      <c r="B61" s="0" t="n">
        <v>27.26</v>
      </c>
      <c r="C61" s="0" t="n">
        <v>100</v>
      </c>
    </row>
    <row r="62" customFormat="false" ht="15" hidden="false" customHeight="false" outlineLevel="0" collapsed="false">
      <c r="A62" s="0" t="s">
        <v>116</v>
      </c>
      <c r="B62" s="0" t="n">
        <v>27.37</v>
      </c>
      <c r="C62" s="0" t="n">
        <v>98.8</v>
      </c>
    </row>
    <row r="63" customFormat="false" ht="15" hidden="false" customHeight="false" outlineLevel="0" collapsed="false">
      <c r="A63" s="0" t="s">
        <v>117</v>
      </c>
      <c r="B63" s="0" t="n">
        <v>23.43</v>
      </c>
      <c r="C63" s="0" t="n">
        <v>99.6</v>
      </c>
    </row>
    <row r="64" customFormat="false" ht="15" hidden="false" customHeight="false" outlineLevel="0" collapsed="false">
      <c r="A64" s="0" t="s">
        <v>118</v>
      </c>
      <c r="B64" s="0" t="n">
        <v>27.21</v>
      </c>
      <c r="C64" s="0" t="n">
        <v>99.6</v>
      </c>
    </row>
    <row r="65" customFormat="false" ht="15" hidden="false" customHeight="false" outlineLevel="0" collapsed="false">
      <c r="A65" s="0" t="s">
        <v>119</v>
      </c>
      <c r="C65" s="0" t="n">
        <v>98</v>
      </c>
    </row>
    <row r="66" customFormat="false" ht="15" hidden="false" customHeight="false" outlineLevel="0" collapsed="false">
      <c r="A66" s="0" t="s">
        <v>120</v>
      </c>
      <c r="B66" s="0" t="n">
        <v>30.15</v>
      </c>
      <c r="C66" s="0" t="n">
        <v>94.9</v>
      </c>
    </row>
    <row r="75" customFormat="false" ht="15" hidden="false" customHeight="false" outlineLevel="0" collapsed="false">
      <c r="A75" s="0" t="s">
        <v>62</v>
      </c>
      <c r="B75" s="0" t="s">
        <v>69</v>
      </c>
      <c r="C75" s="0" t="s">
        <v>114</v>
      </c>
    </row>
    <row r="76" customFormat="false" ht="15" hidden="false" customHeight="false" outlineLevel="0" collapsed="false">
      <c r="A76" s="0" t="s">
        <v>115</v>
      </c>
      <c r="B76" s="0" t="n">
        <v>25.39</v>
      </c>
      <c r="C76" s="0" t="n">
        <v>99.2</v>
      </c>
    </row>
    <row r="77" customFormat="false" ht="15" hidden="false" customHeight="false" outlineLevel="0" collapsed="false">
      <c r="A77" s="0" t="s">
        <v>116</v>
      </c>
      <c r="B77" s="0" t="n">
        <v>27.7</v>
      </c>
      <c r="C77" s="0" t="n">
        <v>98.4</v>
      </c>
    </row>
    <row r="78" customFormat="false" ht="15" hidden="false" customHeight="false" outlineLevel="0" collapsed="false">
      <c r="A78" s="0" t="s">
        <v>117</v>
      </c>
      <c r="B78" s="0" t="n">
        <v>26.48</v>
      </c>
      <c r="C78" s="0" t="n">
        <v>98</v>
      </c>
    </row>
    <row r="79" customFormat="false" ht="15" hidden="false" customHeight="false" outlineLevel="0" collapsed="false">
      <c r="A79" s="0" t="s">
        <v>118</v>
      </c>
      <c r="C79" s="0" t="n">
        <v>98.8</v>
      </c>
    </row>
    <row r="80" customFormat="false" ht="15" hidden="false" customHeight="false" outlineLevel="0" collapsed="false">
      <c r="A80" s="0" t="s">
        <v>119</v>
      </c>
      <c r="B80" s="0" t="n">
        <v>27.55</v>
      </c>
      <c r="C80" s="0" t="n">
        <v>98.4</v>
      </c>
    </row>
    <row r="81" customFormat="false" ht="15" hidden="false" customHeight="false" outlineLevel="0" collapsed="false">
      <c r="A81" s="0" t="s">
        <v>120</v>
      </c>
      <c r="B81" s="0" t="n">
        <v>24.91</v>
      </c>
      <c r="C81" s="0" t="n">
        <v>99.2</v>
      </c>
    </row>
  </sheetData>
  <mergeCells count="23">
    <mergeCell ref="B2:J2"/>
    <mergeCell ref="B3:J3"/>
    <mergeCell ref="B5:C5"/>
    <mergeCell ref="B7:J7"/>
    <mergeCell ref="B8:J8"/>
    <mergeCell ref="B9:C9"/>
    <mergeCell ref="D9:E9"/>
    <mergeCell ref="F9:G9"/>
    <mergeCell ref="H9:I9"/>
    <mergeCell ref="B10:C10"/>
    <mergeCell ref="D10:E10"/>
    <mergeCell ref="F10:G10"/>
    <mergeCell ref="H10:J10"/>
    <mergeCell ref="B36:J36"/>
    <mergeCell ref="B37:J37"/>
    <mergeCell ref="B38:C38"/>
    <mergeCell ref="D38:E38"/>
    <mergeCell ref="F38:G38"/>
    <mergeCell ref="H38:I38"/>
    <mergeCell ref="B39:C39"/>
    <mergeCell ref="D39:E39"/>
    <mergeCell ref="F39:G39"/>
    <mergeCell ref="H39:J39"/>
  </mergeCells>
  <hyperlinks>
    <hyperlink ref="B5" r:id="rId1" location="Dashboard!A1" display="← Dashboar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6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24"/>
    <col collapsed="false" customWidth="true" hidden="false" outlineLevel="0" max="7" min="5" style="0" width="12"/>
    <col collapsed="false" customWidth="true" hidden="false" outlineLevel="0" max="9" min="8" style="0" width="13"/>
    <col collapsed="false" customWidth="true" hidden="false" outlineLevel="0" max="10" min="10" style="0" width="16"/>
    <col collapsed="false" customWidth="true" hidden="false" outlineLevel="0" max="11" min="11" style="0" width="2"/>
  </cols>
  <sheetData>
    <row r="1" customFormat="false" ht="6" hidden="false" customHeight="true" outlineLevel="0" collapsed="false"/>
    <row r="2" customFormat="false" ht="45.75" hidden="false" customHeight="true" outlineLevel="0" collapsed="false">
      <c r="B2" s="30" t="s">
        <v>157</v>
      </c>
      <c r="C2" s="30"/>
      <c r="D2" s="30"/>
      <c r="E2" s="30"/>
      <c r="F2" s="30"/>
      <c r="G2" s="30"/>
      <c r="H2" s="30"/>
      <c r="I2" s="30"/>
      <c r="J2" s="30"/>
    </row>
    <row r="3" customFormat="false" ht="25.5" hidden="false" customHeight="true" outlineLevel="0" collapsed="false">
      <c r="B3" s="2" t="s">
        <v>51</v>
      </c>
      <c r="C3" s="2"/>
      <c r="D3" s="2"/>
      <c r="E3" s="2"/>
      <c r="F3" s="2"/>
      <c r="G3" s="2"/>
      <c r="H3" s="2"/>
      <c r="I3" s="2"/>
      <c r="J3" s="2"/>
    </row>
    <row r="4" customFormat="false" ht="7.5" hidden="false" customHeight="true" outlineLevel="0" collapsed="false"/>
    <row r="5" customFormat="false" ht="19.5" hidden="false" customHeight="true" outlineLevel="0" collapsed="false">
      <c r="B5" s="31" t="s">
        <v>52</v>
      </c>
      <c r="C5" s="31"/>
    </row>
    <row r="7" customFormat="false" ht="9.75" hidden="false" customHeight="true" outlineLevel="0" collapsed="false">
      <c r="B7" s="32"/>
      <c r="C7" s="32"/>
      <c r="D7" s="32"/>
      <c r="E7" s="32"/>
      <c r="F7" s="32"/>
      <c r="G7" s="32"/>
      <c r="H7" s="32"/>
      <c r="I7" s="32"/>
      <c r="J7" s="32"/>
    </row>
    <row r="8" customFormat="false" ht="27.75" hidden="false" customHeight="true" outlineLevel="0" collapsed="false">
      <c r="B8" s="33" t="s">
        <v>158</v>
      </c>
      <c r="C8" s="33"/>
      <c r="D8" s="33"/>
      <c r="E8" s="33"/>
      <c r="F8" s="33"/>
      <c r="G8" s="33"/>
      <c r="H8" s="33"/>
      <c r="I8" s="33"/>
      <c r="J8" s="33"/>
    </row>
    <row r="9" customFormat="false" ht="21.75" hidden="false" customHeight="true" outlineLevel="0" collapsed="false">
      <c r="B9" s="34" t="s">
        <v>159</v>
      </c>
      <c r="C9" s="34"/>
      <c r="D9" s="34" t="s">
        <v>160</v>
      </c>
      <c r="E9" s="34"/>
      <c r="F9" s="34" t="s">
        <v>161</v>
      </c>
      <c r="G9" s="34"/>
      <c r="H9" s="34" t="s">
        <v>57</v>
      </c>
      <c r="I9" s="34"/>
    </row>
    <row r="10" customFormat="false" ht="21.75" hidden="false" customHeight="true" outlineLevel="0" collapsed="false">
      <c r="B10" s="35" t="s">
        <v>58</v>
      </c>
      <c r="C10" s="35"/>
      <c r="D10" s="35" t="s">
        <v>59</v>
      </c>
      <c r="E10" s="35"/>
      <c r="F10" s="36" t="s">
        <v>60</v>
      </c>
      <c r="G10" s="36"/>
      <c r="H10" s="37" t="s">
        <v>162</v>
      </c>
      <c r="I10" s="37"/>
      <c r="J10" s="37"/>
    </row>
    <row r="11" customFormat="false" ht="7.5" hidden="false" customHeight="true" outlineLevel="0" collapsed="false"/>
    <row r="12" customFormat="false" ht="24" hidden="false" customHeight="true" outlineLevel="0" collapsed="false">
      <c r="B12" s="38" t="s">
        <v>62</v>
      </c>
      <c r="C12" s="38" t="s">
        <v>63</v>
      </c>
      <c r="D12" s="38" t="s">
        <v>64</v>
      </c>
      <c r="E12" s="38" t="s">
        <v>65</v>
      </c>
      <c r="F12" s="38" t="s">
        <v>66</v>
      </c>
      <c r="G12" s="38" t="s">
        <v>67</v>
      </c>
      <c r="H12" s="38" t="s">
        <v>68</v>
      </c>
      <c r="I12" s="38" t="s">
        <v>69</v>
      </c>
      <c r="J12" s="38" t="s">
        <v>70</v>
      </c>
    </row>
    <row r="13" customFormat="false" ht="19.5" hidden="false" customHeight="true" outlineLevel="0" collapsed="false">
      <c r="B13" s="16" t="s">
        <v>163</v>
      </c>
      <c r="C13" s="16" t="s">
        <v>79</v>
      </c>
      <c r="D13" s="14" t="s">
        <v>80</v>
      </c>
      <c r="E13" s="39" t="s">
        <v>74</v>
      </c>
      <c r="F13" s="16" t="s">
        <v>75</v>
      </c>
      <c r="G13" s="18" t="s">
        <v>75</v>
      </c>
      <c r="H13" s="40" t="s">
        <v>26</v>
      </c>
      <c r="I13" s="16" t="s">
        <v>164</v>
      </c>
      <c r="J13" s="20" t="s">
        <v>165</v>
      </c>
    </row>
    <row r="14" customFormat="false" ht="19.5" hidden="false" customHeight="true" outlineLevel="0" collapsed="false">
      <c r="B14" s="23" t="s">
        <v>166</v>
      </c>
      <c r="C14" s="23" t="s">
        <v>79</v>
      </c>
      <c r="D14" s="21" t="s">
        <v>80</v>
      </c>
      <c r="E14" s="39" t="s">
        <v>74</v>
      </c>
      <c r="F14" s="23" t="s">
        <v>75</v>
      </c>
      <c r="G14" s="18" t="s">
        <v>75</v>
      </c>
      <c r="H14" s="40" t="s">
        <v>26</v>
      </c>
      <c r="I14" s="23" t="s">
        <v>167</v>
      </c>
      <c r="J14" s="25" t="s">
        <v>29</v>
      </c>
    </row>
    <row r="15" customFormat="false" ht="19.5" hidden="false" customHeight="true" outlineLevel="0" collapsed="false">
      <c r="B15" s="16" t="s">
        <v>168</v>
      </c>
      <c r="C15" s="16" t="s">
        <v>79</v>
      </c>
      <c r="D15" s="14" t="s">
        <v>80</v>
      </c>
      <c r="E15" s="39" t="s">
        <v>74</v>
      </c>
      <c r="F15" s="16" t="s">
        <v>75</v>
      </c>
      <c r="G15" s="18" t="s">
        <v>75</v>
      </c>
      <c r="H15" s="40" t="s">
        <v>26</v>
      </c>
      <c r="I15" s="16" t="s">
        <v>169</v>
      </c>
      <c r="J15" s="20" t="s">
        <v>29</v>
      </c>
    </row>
    <row r="16" customFormat="false" ht="19.5" hidden="false" customHeight="true" outlineLevel="0" collapsed="false">
      <c r="B16" s="23" t="s">
        <v>170</v>
      </c>
      <c r="C16" s="23" t="s">
        <v>101</v>
      </c>
      <c r="D16" s="21" t="s">
        <v>102</v>
      </c>
      <c r="E16" s="39" t="s">
        <v>74</v>
      </c>
      <c r="F16" s="23" t="s">
        <v>75</v>
      </c>
      <c r="G16" s="18" t="s">
        <v>75</v>
      </c>
      <c r="H16" s="40" t="s">
        <v>26</v>
      </c>
      <c r="I16" s="23" t="s">
        <v>171</v>
      </c>
      <c r="J16" s="25" t="s">
        <v>35</v>
      </c>
    </row>
    <row r="17" customFormat="false" ht="19.5" hidden="false" customHeight="true" outlineLevel="0" collapsed="false">
      <c r="B17" s="16" t="s">
        <v>172</v>
      </c>
      <c r="C17" s="16" t="s">
        <v>79</v>
      </c>
      <c r="D17" s="14" t="s">
        <v>80</v>
      </c>
      <c r="E17" s="39" t="s">
        <v>74</v>
      </c>
      <c r="F17" s="16" t="s">
        <v>75</v>
      </c>
      <c r="G17" s="18" t="s">
        <v>75</v>
      </c>
      <c r="H17" s="40" t="s">
        <v>26</v>
      </c>
      <c r="I17" s="16" t="s">
        <v>173</v>
      </c>
      <c r="J17" s="20" t="s">
        <v>174</v>
      </c>
    </row>
    <row r="18" customFormat="false" ht="19.5" hidden="false" customHeight="true" outlineLevel="0" collapsed="false">
      <c r="B18" s="23" t="s">
        <v>175</v>
      </c>
      <c r="C18" s="23" t="s">
        <v>92</v>
      </c>
      <c r="D18" s="21" t="s">
        <v>92</v>
      </c>
      <c r="E18" s="39" t="s">
        <v>74</v>
      </c>
      <c r="F18" s="23" t="s">
        <v>92</v>
      </c>
      <c r="G18" s="18" t="s">
        <v>92</v>
      </c>
      <c r="H18" s="40" t="s">
        <v>26</v>
      </c>
      <c r="I18" s="23" t="s">
        <v>93</v>
      </c>
      <c r="J18" s="25" t="s">
        <v>37</v>
      </c>
    </row>
    <row r="60" customFormat="false" ht="15" hidden="false" customHeight="false" outlineLevel="0" collapsed="false">
      <c r="A60" s="0" t="s">
        <v>62</v>
      </c>
      <c r="B60" s="0" t="s">
        <v>69</v>
      </c>
      <c r="C60" s="0" t="s">
        <v>114</v>
      </c>
    </row>
    <row r="61" customFormat="false" ht="15" hidden="false" customHeight="false" outlineLevel="0" collapsed="false">
      <c r="A61" s="0" t="s">
        <v>115</v>
      </c>
      <c r="B61" s="0" t="n">
        <v>28.41</v>
      </c>
      <c r="C61" s="0" t="n">
        <v>96.9</v>
      </c>
    </row>
    <row r="62" customFormat="false" ht="15" hidden="false" customHeight="false" outlineLevel="0" collapsed="false">
      <c r="A62" s="0" t="s">
        <v>116</v>
      </c>
      <c r="B62" s="0" t="n">
        <v>25.63</v>
      </c>
      <c r="C62" s="0" t="n">
        <v>99.1</v>
      </c>
    </row>
    <row r="63" customFormat="false" ht="15" hidden="false" customHeight="false" outlineLevel="0" collapsed="false">
      <c r="A63" s="0" t="s">
        <v>117</v>
      </c>
      <c r="B63" s="0" t="n">
        <v>26.16</v>
      </c>
      <c r="C63" s="0" t="n">
        <v>99.1</v>
      </c>
    </row>
    <row r="64" customFormat="false" ht="15" hidden="false" customHeight="false" outlineLevel="0" collapsed="false">
      <c r="A64" s="0" t="s">
        <v>118</v>
      </c>
      <c r="B64" s="0" t="n">
        <v>26.64</v>
      </c>
      <c r="C64" s="0" t="n">
        <v>98.7</v>
      </c>
    </row>
    <row r="65" customFormat="false" ht="15" hidden="false" customHeight="false" outlineLevel="0" collapsed="false">
      <c r="A65" s="0" t="s">
        <v>119</v>
      </c>
      <c r="B65" s="0" t="n">
        <v>29.99</v>
      </c>
      <c r="C65" s="0" t="n">
        <v>97.3</v>
      </c>
    </row>
    <row r="66" customFormat="false" ht="15" hidden="false" customHeight="false" outlineLevel="0" collapsed="false">
      <c r="A66" s="0" t="s">
        <v>120</v>
      </c>
      <c r="C66" s="0" t="n">
        <v>98.2</v>
      </c>
    </row>
  </sheetData>
  <mergeCells count="13">
    <mergeCell ref="B2:J2"/>
    <mergeCell ref="B3:J3"/>
    <mergeCell ref="B5:C5"/>
    <mergeCell ref="B7:J7"/>
    <mergeCell ref="B8:J8"/>
    <mergeCell ref="B9:C9"/>
    <mergeCell ref="D9:E9"/>
    <mergeCell ref="F9:G9"/>
    <mergeCell ref="H9:I9"/>
    <mergeCell ref="B10:C10"/>
    <mergeCell ref="D10:E10"/>
    <mergeCell ref="F10:G10"/>
    <mergeCell ref="H10:J10"/>
  </mergeCells>
  <hyperlinks>
    <hyperlink ref="B5" r:id="rId1" location="Dashboard!A1" display="← Dashboar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6" min="3" style="0" width="12"/>
    <col collapsed="false" customWidth="true" hidden="false" outlineLevel="0" max="9" min="7" style="0" width="14"/>
    <col collapsed="false" customWidth="true" hidden="false" outlineLevel="0" max="10" min="10" style="0" width="2"/>
  </cols>
  <sheetData>
    <row r="1" customFormat="false" ht="6" hidden="false" customHeight="true" outlineLevel="0" collapsed="false"/>
    <row r="2" customFormat="false" ht="45.75" hidden="false" customHeight="true" outlineLevel="0" collapsed="false">
      <c r="B2" s="30" t="s">
        <v>176</v>
      </c>
      <c r="C2" s="30"/>
      <c r="D2" s="30"/>
      <c r="E2" s="30"/>
      <c r="F2" s="30"/>
      <c r="G2" s="30"/>
      <c r="H2" s="30"/>
      <c r="I2" s="30"/>
    </row>
    <row r="3" customFormat="false" ht="24" hidden="false" customHeight="true" outlineLevel="0" collapsed="false">
      <c r="B3" s="2" t="s">
        <v>177</v>
      </c>
      <c r="C3" s="2"/>
      <c r="D3" s="2"/>
      <c r="E3" s="2"/>
      <c r="F3" s="2"/>
      <c r="G3" s="2"/>
      <c r="H3" s="2"/>
      <c r="I3" s="2"/>
    </row>
    <row r="4" customFormat="false" ht="7.5" hidden="false" customHeight="true" outlineLevel="0" collapsed="false"/>
    <row r="5" customFormat="false" ht="19.5" hidden="false" customHeight="true" outlineLevel="0" collapsed="false">
      <c r="B5" s="31" t="s">
        <v>52</v>
      </c>
      <c r="C5" s="31"/>
    </row>
    <row r="6" customFormat="false" ht="7.5" hidden="false" customHeight="true" outlineLevel="0" collapsed="false"/>
    <row r="7" customFormat="false" ht="15.75" hidden="false" customHeight="true" outlineLevel="0" collapsed="false">
      <c r="B7" s="3" t="s">
        <v>178</v>
      </c>
      <c r="C7" s="3"/>
      <c r="D7" s="3"/>
      <c r="E7" s="3"/>
      <c r="F7" s="3"/>
      <c r="G7" s="3"/>
      <c r="H7" s="3"/>
      <c r="I7" s="3"/>
    </row>
    <row r="8" customFormat="false" ht="24" hidden="false" customHeight="true" outlineLevel="0" collapsed="false">
      <c r="B8" s="13" t="s">
        <v>64</v>
      </c>
      <c r="C8" s="13" t="s">
        <v>179</v>
      </c>
      <c r="D8" s="13" t="s">
        <v>74</v>
      </c>
      <c r="E8" s="13" t="s">
        <v>88</v>
      </c>
      <c r="F8" s="13" t="s">
        <v>180</v>
      </c>
      <c r="G8" s="13" t="s">
        <v>181</v>
      </c>
      <c r="H8" s="13" t="s">
        <v>182</v>
      </c>
      <c r="I8" s="13" t="s">
        <v>23</v>
      </c>
    </row>
    <row r="9" customFormat="false" ht="19.5" hidden="false" customHeight="true" outlineLevel="0" collapsed="false">
      <c r="B9" s="39" t="s">
        <v>80</v>
      </c>
      <c r="C9" s="16" t="n">
        <v>11</v>
      </c>
      <c r="D9" s="16" t="n">
        <v>10</v>
      </c>
      <c r="E9" s="16" t="n">
        <v>1</v>
      </c>
      <c r="F9" s="16" t="s">
        <v>183</v>
      </c>
      <c r="G9" s="16" t="s">
        <v>156</v>
      </c>
      <c r="H9" s="16" t="s">
        <v>89</v>
      </c>
      <c r="I9" s="16" t="s">
        <v>130</v>
      </c>
    </row>
    <row r="10" customFormat="false" ht="19.5" hidden="false" customHeight="true" outlineLevel="0" collapsed="false">
      <c r="B10" s="18" t="s">
        <v>73</v>
      </c>
      <c r="C10" s="23" t="n">
        <v>8</v>
      </c>
      <c r="D10" s="23" t="n">
        <v>8</v>
      </c>
      <c r="E10" s="23" t="n">
        <v>0</v>
      </c>
      <c r="F10" s="23" t="s">
        <v>184</v>
      </c>
      <c r="G10" s="23" t="s">
        <v>132</v>
      </c>
      <c r="H10" s="23" t="s">
        <v>139</v>
      </c>
      <c r="I10" s="23" t="s">
        <v>185</v>
      </c>
    </row>
    <row r="11" customFormat="false" ht="19.5" hidden="false" customHeight="true" outlineLevel="0" collapsed="false">
      <c r="B11" s="45" t="s">
        <v>102</v>
      </c>
      <c r="C11" s="16" t="n">
        <v>5</v>
      </c>
      <c r="D11" s="16" t="n">
        <v>5</v>
      </c>
      <c r="E11" s="16" t="n">
        <v>0</v>
      </c>
      <c r="F11" s="16" t="s">
        <v>186</v>
      </c>
      <c r="G11" s="16" t="s">
        <v>107</v>
      </c>
      <c r="H11" s="16" t="s">
        <v>148</v>
      </c>
      <c r="I11" s="16" t="s">
        <v>187</v>
      </c>
    </row>
    <row r="12" customFormat="false" ht="19.5" hidden="false" customHeight="true" outlineLevel="0" collapsed="false">
      <c r="B12" s="41" t="s">
        <v>112</v>
      </c>
      <c r="C12" s="23" t="n">
        <v>1</v>
      </c>
      <c r="D12" s="23" t="n">
        <v>1</v>
      </c>
      <c r="E12" s="23" t="n">
        <v>0</v>
      </c>
      <c r="F12" s="23" t="s">
        <v>113</v>
      </c>
      <c r="G12" s="23" t="s">
        <v>113</v>
      </c>
      <c r="H12" s="23" t="s">
        <v>113</v>
      </c>
      <c r="I12" s="23" t="s">
        <v>77</v>
      </c>
    </row>
    <row r="13" customFormat="false" ht="19.5" hidden="false" customHeight="true" outlineLevel="0" collapsed="false">
      <c r="B13" s="46" t="s">
        <v>92</v>
      </c>
      <c r="C13" s="16" t="n">
        <v>5</v>
      </c>
      <c r="D13" s="16" t="n">
        <v>5</v>
      </c>
      <c r="E13" s="16" t="n">
        <v>0</v>
      </c>
      <c r="F13" s="16" t="s">
        <v>93</v>
      </c>
      <c r="G13" s="16" t="s">
        <v>93</v>
      </c>
      <c r="H13" s="16" t="s">
        <v>93</v>
      </c>
      <c r="I13" s="16" t="s">
        <v>149</v>
      </c>
    </row>
    <row r="15" customFormat="false" ht="7.5" hidden="false" customHeight="true" outlineLevel="0" collapsed="false"/>
    <row r="16" customFormat="false" ht="15.75" hidden="false" customHeight="true" outlineLevel="0" collapsed="false">
      <c r="B16" s="3" t="s">
        <v>188</v>
      </c>
      <c r="C16" s="3"/>
      <c r="D16" s="3"/>
      <c r="E16" s="3"/>
      <c r="F16" s="3"/>
      <c r="G16" s="3"/>
      <c r="H16" s="3"/>
      <c r="I16" s="3"/>
    </row>
    <row r="17" customFormat="false" ht="24" hidden="false" customHeight="true" outlineLevel="0" collapsed="false">
      <c r="B17" s="13" t="s">
        <v>64</v>
      </c>
      <c r="C17" s="13" t="s">
        <v>45</v>
      </c>
      <c r="D17" s="13" t="s">
        <v>46</v>
      </c>
      <c r="E17" s="13" t="s">
        <v>47</v>
      </c>
      <c r="F17" s="13" t="s">
        <v>48</v>
      </c>
      <c r="G17" s="13" t="s">
        <v>49</v>
      </c>
      <c r="H17" s="13" t="s">
        <v>189</v>
      </c>
      <c r="I17" s="13" t="s">
        <v>21</v>
      </c>
    </row>
    <row r="18" customFormat="false" ht="19.5" hidden="false" customHeight="true" outlineLevel="0" collapsed="false">
      <c r="B18" s="39" t="s">
        <v>80</v>
      </c>
      <c r="C18" s="16" t="n">
        <v>2</v>
      </c>
      <c r="D18" s="16" t="n">
        <v>1</v>
      </c>
      <c r="E18" s="16" t="n">
        <v>2</v>
      </c>
      <c r="F18" s="16" t="n">
        <v>2</v>
      </c>
      <c r="G18" s="16" t="n">
        <v>4</v>
      </c>
      <c r="H18" s="16" t="n">
        <v>11</v>
      </c>
      <c r="I18" s="16" t="s">
        <v>5</v>
      </c>
    </row>
    <row r="19" customFormat="false" ht="19.5" hidden="false" customHeight="true" outlineLevel="0" collapsed="false">
      <c r="B19" s="18" t="s">
        <v>73</v>
      </c>
      <c r="C19" s="23" t="n">
        <v>3</v>
      </c>
      <c r="D19" s="23" t="n">
        <v>1</v>
      </c>
      <c r="E19" s="23" t="n">
        <v>3</v>
      </c>
      <c r="F19" s="23" t="n">
        <v>1</v>
      </c>
      <c r="G19" s="23" t="n">
        <v>0</v>
      </c>
      <c r="H19" s="23" t="n">
        <v>8</v>
      </c>
      <c r="I19" s="23" t="s">
        <v>5</v>
      </c>
    </row>
    <row r="20" customFormat="false" ht="19.5" hidden="false" customHeight="true" outlineLevel="0" collapsed="false">
      <c r="B20" s="45" t="s">
        <v>102</v>
      </c>
      <c r="C20" s="16" t="n">
        <v>0</v>
      </c>
      <c r="D20" s="16" t="n">
        <v>2</v>
      </c>
      <c r="E20" s="16" t="n">
        <v>0</v>
      </c>
      <c r="F20" s="16" t="n">
        <v>2</v>
      </c>
      <c r="G20" s="16" t="n">
        <v>1</v>
      </c>
      <c r="H20" s="16" t="n">
        <v>5</v>
      </c>
      <c r="I20" s="16" t="s">
        <v>5</v>
      </c>
    </row>
    <row r="21" customFormat="false" ht="19.5" hidden="false" customHeight="true" outlineLevel="0" collapsed="false">
      <c r="B21" s="41" t="s">
        <v>112</v>
      </c>
      <c r="C21" s="23" t="n">
        <v>0</v>
      </c>
      <c r="D21" s="23" t="n">
        <v>1</v>
      </c>
      <c r="E21" s="23" t="n">
        <v>0</v>
      </c>
      <c r="F21" s="23" t="n">
        <v>0</v>
      </c>
      <c r="G21" s="23" t="n">
        <v>0</v>
      </c>
      <c r="H21" s="23" t="n">
        <v>1</v>
      </c>
      <c r="I21" s="23" t="s">
        <v>5</v>
      </c>
    </row>
    <row r="22" customFormat="false" ht="19.5" hidden="false" customHeight="true" outlineLevel="0" collapsed="false">
      <c r="B22" s="46" t="s">
        <v>92</v>
      </c>
      <c r="C22" s="16" t="n">
        <v>1</v>
      </c>
      <c r="D22" s="16" t="n">
        <v>1</v>
      </c>
      <c r="E22" s="16" t="n">
        <v>1</v>
      </c>
      <c r="F22" s="16" t="n">
        <v>1</v>
      </c>
      <c r="G22" s="16" t="n">
        <v>1</v>
      </c>
      <c r="H22" s="16" t="n">
        <v>5</v>
      </c>
      <c r="I22" s="16" t="s">
        <v>190</v>
      </c>
    </row>
    <row r="40" customFormat="false" ht="15.75" hidden="false" customHeight="true" outlineLevel="0" collapsed="false">
      <c r="B40" s="3" t="s">
        <v>191</v>
      </c>
      <c r="C40" s="3"/>
      <c r="D40" s="3"/>
      <c r="E40" s="3"/>
      <c r="F40" s="3"/>
      <c r="G40" s="3"/>
      <c r="H40" s="3"/>
      <c r="I40" s="3"/>
    </row>
    <row r="41" customFormat="false" ht="24" hidden="false" customHeight="true" outlineLevel="0" collapsed="false">
      <c r="B41" s="13" t="s">
        <v>16</v>
      </c>
      <c r="C41" s="13" t="s">
        <v>192</v>
      </c>
      <c r="D41" s="13" t="s">
        <v>193</v>
      </c>
      <c r="E41" s="13" t="s">
        <v>194</v>
      </c>
      <c r="F41" s="13" t="s">
        <v>21</v>
      </c>
      <c r="G41" s="13" t="s">
        <v>195</v>
      </c>
      <c r="H41" s="13" t="s">
        <v>196</v>
      </c>
      <c r="I41" s="13" t="s">
        <v>22</v>
      </c>
    </row>
    <row r="42" customFormat="false" ht="19.5" hidden="false" customHeight="true" outlineLevel="0" collapsed="false">
      <c r="B42" s="14" t="s">
        <v>45</v>
      </c>
      <c r="C42" s="16" t="s">
        <v>25</v>
      </c>
      <c r="D42" s="16" t="n">
        <v>5</v>
      </c>
      <c r="E42" s="16" t="n">
        <v>0</v>
      </c>
      <c r="F42" s="18" t="s">
        <v>28</v>
      </c>
      <c r="G42" s="16" t="n">
        <v>1</v>
      </c>
      <c r="H42" s="16" t="n">
        <v>0</v>
      </c>
      <c r="I42" s="18" t="s">
        <v>28</v>
      </c>
    </row>
    <row r="43" customFormat="false" ht="19.5" hidden="false" customHeight="true" outlineLevel="0" collapsed="false">
      <c r="B43" s="21" t="s">
        <v>46</v>
      </c>
      <c r="C43" s="23" t="s">
        <v>31</v>
      </c>
      <c r="D43" s="23" t="n">
        <v>5</v>
      </c>
      <c r="E43" s="23" t="n">
        <v>0</v>
      </c>
      <c r="F43" s="18" t="s">
        <v>28</v>
      </c>
      <c r="G43" s="23" t="n">
        <v>1</v>
      </c>
      <c r="H43" s="23" t="n">
        <v>0</v>
      </c>
      <c r="I43" s="18" t="s">
        <v>28</v>
      </c>
    </row>
    <row r="44" customFormat="false" ht="19.5" hidden="false" customHeight="true" outlineLevel="0" collapsed="false">
      <c r="B44" s="14" t="s">
        <v>47</v>
      </c>
      <c r="C44" s="16" t="s">
        <v>33</v>
      </c>
      <c r="D44" s="16" t="n">
        <v>5</v>
      </c>
      <c r="E44" s="16" t="n">
        <v>0</v>
      </c>
      <c r="F44" s="18" t="s">
        <v>28</v>
      </c>
      <c r="G44" s="16" t="n">
        <v>1</v>
      </c>
      <c r="H44" s="16" t="n">
        <v>0</v>
      </c>
      <c r="I44" s="18" t="s">
        <v>28</v>
      </c>
    </row>
    <row r="45" customFormat="false" ht="19.5" hidden="false" customHeight="true" outlineLevel="0" collapsed="false">
      <c r="B45" s="21" t="s">
        <v>48</v>
      </c>
      <c r="C45" s="23" t="s">
        <v>34</v>
      </c>
      <c r="D45" s="23" t="n">
        <v>5</v>
      </c>
      <c r="E45" s="23" t="n">
        <v>0</v>
      </c>
      <c r="F45" s="18" t="s">
        <v>28</v>
      </c>
      <c r="G45" s="23" t="n">
        <v>1</v>
      </c>
      <c r="H45" s="23" t="n">
        <v>0</v>
      </c>
      <c r="I45" s="18" t="s">
        <v>28</v>
      </c>
    </row>
    <row r="46" customFormat="false" ht="19.5" hidden="false" customHeight="true" outlineLevel="0" collapsed="false">
      <c r="B46" s="14" t="s">
        <v>49</v>
      </c>
      <c r="C46" s="16" t="s">
        <v>36</v>
      </c>
      <c r="D46" s="16" t="n">
        <v>5</v>
      </c>
      <c r="E46" s="16" t="n">
        <v>0</v>
      </c>
      <c r="F46" s="18" t="s">
        <v>28</v>
      </c>
      <c r="G46" s="16" t="n">
        <v>1</v>
      </c>
      <c r="H46" s="16" t="n">
        <v>0</v>
      </c>
      <c r="I46" s="18" t="s">
        <v>28</v>
      </c>
    </row>
    <row r="60" customFormat="false" ht="15" hidden="false" customHeight="false" outlineLevel="0" collapsed="false">
      <c r="A60" s="0" t="s">
        <v>197</v>
      </c>
      <c r="B60" s="0" t="s">
        <v>198</v>
      </c>
    </row>
    <row r="61" customFormat="false" ht="15" hidden="false" customHeight="false" outlineLevel="0" collapsed="false">
      <c r="A61" s="0" t="s">
        <v>80</v>
      </c>
      <c r="B61" s="0" t="n">
        <v>11</v>
      </c>
    </row>
    <row r="62" customFormat="false" ht="15" hidden="false" customHeight="false" outlineLevel="0" collapsed="false">
      <c r="A62" s="0" t="s">
        <v>73</v>
      </c>
      <c r="B62" s="0" t="n">
        <v>8</v>
      </c>
    </row>
    <row r="63" customFormat="false" ht="15" hidden="false" customHeight="false" outlineLevel="0" collapsed="false">
      <c r="A63" s="0" t="s">
        <v>102</v>
      </c>
      <c r="B63" s="0" t="n">
        <v>5</v>
      </c>
    </row>
    <row r="64" customFormat="false" ht="15" hidden="false" customHeight="false" outlineLevel="0" collapsed="false">
      <c r="A64" s="0" t="s">
        <v>112</v>
      </c>
      <c r="B64" s="0" t="n">
        <v>1</v>
      </c>
    </row>
    <row r="65" customFormat="false" ht="15" hidden="false" customHeight="false" outlineLevel="0" collapsed="false">
      <c r="A65" s="0" t="s">
        <v>92</v>
      </c>
      <c r="B65" s="0" t="n">
        <v>5</v>
      </c>
    </row>
  </sheetData>
  <mergeCells count="6">
    <mergeCell ref="B2:I2"/>
    <mergeCell ref="B3:I3"/>
    <mergeCell ref="B5:C5"/>
    <mergeCell ref="B7:I7"/>
    <mergeCell ref="B16:I16"/>
    <mergeCell ref="B40:I40"/>
  </mergeCells>
  <hyperlinks>
    <hyperlink ref="B5" r:id="rId1" location="Dashboard!A1" display="← Dashboar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2"/>
  </cols>
  <sheetData>
    <row r="1" customFormat="false" ht="6" hidden="false" customHeight="true" outlineLevel="0" collapsed="false"/>
    <row r="2" customFormat="false" ht="39.75" hidden="false" customHeight="true" outlineLevel="0" collapsed="false">
      <c r="A2" s="47" t="s">
        <v>199</v>
      </c>
      <c r="B2" s="47"/>
      <c r="C2" s="47"/>
      <c r="D2" s="47"/>
      <c r="E2" s="47"/>
      <c r="F2" s="47"/>
      <c r="G2" s="47"/>
      <c r="H2" s="47"/>
      <c r="I2" s="47"/>
      <c r="J2" s="47"/>
      <c r="K2" s="47"/>
    </row>
    <row r="3" customFormat="false" ht="7.5" hidden="false" customHeight="true" outlineLevel="0" collapsed="false"/>
    <row r="4" customFormat="false" ht="24" hidden="false" customHeight="true" outlineLevel="0" collapsed="false">
      <c r="A4" s="13" t="s">
        <v>15</v>
      </c>
      <c r="B4" s="13" t="s">
        <v>16</v>
      </c>
      <c r="C4" s="13" t="s">
        <v>192</v>
      </c>
      <c r="D4" s="13" t="s">
        <v>200</v>
      </c>
      <c r="E4" s="13" t="s">
        <v>197</v>
      </c>
      <c r="F4" s="13" t="s">
        <v>63</v>
      </c>
      <c r="G4" s="13" t="s">
        <v>65</v>
      </c>
      <c r="H4" s="13" t="s">
        <v>67</v>
      </c>
      <c r="I4" s="13" t="s">
        <v>68</v>
      </c>
      <c r="J4" s="13" t="s">
        <v>69</v>
      </c>
      <c r="K4" s="13" t="s">
        <v>114</v>
      </c>
    </row>
    <row r="5" customFormat="false" ht="18" hidden="false" customHeight="true" outlineLevel="0" collapsed="false">
      <c r="A5" s="14" t="n">
        <v>2024</v>
      </c>
      <c r="B5" s="16" t="s">
        <v>24</v>
      </c>
      <c r="C5" s="16" t="s">
        <v>25</v>
      </c>
      <c r="D5" s="16" t="s">
        <v>71</v>
      </c>
      <c r="E5" s="16" t="s">
        <v>73</v>
      </c>
      <c r="F5" s="16" t="s">
        <v>72</v>
      </c>
      <c r="G5" s="48" t="s">
        <v>74</v>
      </c>
      <c r="H5" s="18" t="s">
        <v>75</v>
      </c>
      <c r="I5" s="16" t="n">
        <v>0</v>
      </c>
      <c r="J5" s="16" t="s">
        <v>76</v>
      </c>
      <c r="K5" s="16" t="s">
        <v>77</v>
      </c>
    </row>
    <row r="6" customFormat="false" ht="18" hidden="false" customHeight="true" outlineLevel="0" collapsed="false">
      <c r="A6" s="21" t="n">
        <v>2024</v>
      </c>
      <c r="B6" s="23" t="s">
        <v>24</v>
      </c>
      <c r="C6" s="23" t="s">
        <v>25</v>
      </c>
      <c r="D6" s="23" t="s">
        <v>78</v>
      </c>
      <c r="E6" s="23" t="s">
        <v>80</v>
      </c>
      <c r="F6" s="23" t="s">
        <v>79</v>
      </c>
      <c r="G6" s="48" t="s">
        <v>74</v>
      </c>
      <c r="H6" s="18" t="s">
        <v>75</v>
      </c>
      <c r="I6" s="23" t="n">
        <v>0</v>
      </c>
      <c r="J6" s="23" t="s">
        <v>81</v>
      </c>
      <c r="K6" s="23" t="s">
        <v>82</v>
      </c>
    </row>
    <row r="7" customFormat="false" ht="18" hidden="false" customHeight="true" outlineLevel="0" collapsed="false">
      <c r="A7" s="14" t="n">
        <v>2024</v>
      </c>
      <c r="B7" s="16" t="s">
        <v>24</v>
      </c>
      <c r="C7" s="16" t="s">
        <v>25</v>
      </c>
      <c r="D7" s="16" t="s">
        <v>83</v>
      </c>
      <c r="E7" s="16" t="s">
        <v>73</v>
      </c>
      <c r="F7" s="16" t="s">
        <v>72</v>
      </c>
      <c r="G7" s="48" t="s">
        <v>74</v>
      </c>
      <c r="H7" s="18" t="s">
        <v>75</v>
      </c>
      <c r="I7" s="16" t="n">
        <v>0</v>
      </c>
      <c r="J7" s="16" t="s">
        <v>84</v>
      </c>
      <c r="K7" s="16" t="s">
        <v>77</v>
      </c>
    </row>
    <row r="8" customFormat="false" ht="18" hidden="false" customHeight="true" outlineLevel="0" collapsed="false">
      <c r="A8" s="21" t="n">
        <v>2024</v>
      </c>
      <c r="B8" s="23" t="s">
        <v>24</v>
      </c>
      <c r="C8" s="23" t="s">
        <v>25</v>
      </c>
      <c r="D8" s="23" t="s">
        <v>85</v>
      </c>
      <c r="E8" s="23" t="s">
        <v>73</v>
      </c>
      <c r="F8" s="23" t="s">
        <v>72</v>
      </c>
      <c r="G8" s="48" t="s">
        <v>74</v>
      </c>
      <c r="H8" s="18" t="s">
        <v>75</v>
      </c>
      <c r="I8" s="23" t="n">
        <v>0</v>
      </c>
      <c r="J8" s="23" t="s">
        <v>86</v>
      </c>
      <c r="K8" s="23" t="s">
        <v>77</v>
      </c>
    </row>
    <row r="9" customFormat="false" ht="18" hidden="false" customHeight="true" outlineLevel="0" collapsed="false">
      <c r="A9" s="14" t="n">
        <v>2024</v>
      </c>
      <c r="B9" s="16" t="s">
        <v>24</v>
      </c>
      <c r="C9" s="16" t="s">
        <v>25</v>
      </c>
      <c r="D9" s="16" t="s">
        <v>87</v>
      </c>
      <c r="E9" s="16" t="s">
        <v>80</v>
      </c>
      <c r="F9" s="16" t="s">
        <v>79</v>
      </c>
      <c r="G9" s="49" t="s">
        <v>88</v>
      </c>
      <c r="H9" s="18" t="s">
        <v>75</v>
      </c>
      <c r="I9" s="16" t="n">
        <v>0</v>
      </c>
      <c r="J9" s="16" t="s">
        <v>89</v>
      </c>
      <c r="K9" s="50" t="s">
        <v>90</v>
      </c>
    </row>
    <row r="10" customFormat="false" ht="18" hidden="false" customHeight="true" outlineLevel="0" collapsed="false">
      <c r="A10" s="21" t="n">
        <v>2024</v>
      </c>
      <c r="B10" s="23" t="s">
        <v>24</v>
      </c>
      <c r="C10" s="23" t="s">
        <v>25</v>
      </c>
      <c r="D10" s="23" t="s">
        <v>91</v>
      </c>
      <c r="E10" s="23" t="s">
        <v>92</v>
      </c>
      <c r="F10" s="23" t="s">
        <v>92</v>
      </c>
      <c r="G10" s="48" t="s">
        <v>74</v>
      </c>
      <c r="H10" s="18" t="s">
        <v>92</v>
      </c>
      <c r="I10" s="23" t="n">
        <v>0</v>
      </c>
      <c r="J10" s="23" t="s">
        <v>93</v>
      </c>
      <c r="K10" s="23" t="s">
        <v>77</v>
      </c>
    </row>
    <row r="11" customFormat="false" ht="18" hidden="false" customHeight="true" outlineLevel="0" collapsed="false">
      <c r="A11" s="14" t="n">
        <v>2024</v>
      </c>
      <c r="B11" s="16" t="s">
        <v>30</v>
      </c>
      <c r="C11" s="16" t="s">
        <v>31</v>
      </c>
      <c r="D11" s="16" t="s">
        <v>98</v>
      </c>
      <c r="E11" s="16" t="s">
        <v>80</v>
      </c>
      <c r="F11" s="16" t="s">
        <v>79</v>
      </c>
      <c r="G11" s="48" t="s">
        <v>74</v>
      </c>
      <c r="H11" s="18" t="s">
        <v>75</v>
      </c>
      <c r="I11" s="16" t="n">
        <v>0</v>
      </c>
      <c r="J11" s="16" t="s">
        <v>99</v>
      </c>
      <c r="K11" s="16" t="s">
        <v>32</v>
      </c>
    </row>
    <row r="12" customFormat="false" ht="18" hidden="false" customHeight="true" outlineLevel="0" collapsed="false">
      <c r="A12" s="21" t="n">
        <v>2024</v>
      </c>
      <c r="B12" s="23" t="s">
        <v>30</v>
      </c>
      <c r="C12" s="23" t="s">
        <v>31</v>
      </c>
      <c r="D12" s="23" t="s">
        <v>100</v>
      </c>
      <c r="E12" s="23" t="s">
        <v>102</v>
      </c>
      <c r="F12" s="23" t="s">
        <v>101</v>
      </c>
      <c r="G12" s="48" t="s">
        <v>74</v>
      </c>
      <c r="H12" s="18" t="s">
        <v>75</v>
      </c>
      <c r="I12" s="23" t="n">
        <v>0</v>
      </c>
      <c r="J12" s="23" t="s">
        <v>103</v>
      </c>
      <c r="K12" s="23" t="s">
        <v>77</v>
      </c>
    </row>
    <row r="13" customFormat="false" ht="18" hidden="false" customHeight="true" outlineLevel="0" collapsed="false">
      <c r="A13" s="14" t="n">
        <v>2024</v>
      </c>
      <c r="B13" s="16" t="s">
        <v>30</v>
      </c>
      <c r="C13" s="16" t="s">
        <v>31</v>
      </c>
      <c r="D13" s="16" t="s">
        <v>104</v>
      </c>
      <c r="E13" s="16" t="s">
        <v>92</v>
      </c>
      <c r="F13" s="16" t="s">
        <v>92</v>
      </c>
      <c r="G13" s="48" t="s">
        <v>74</v>
      </c>
      <c r="H13" s="18" t="s">
        <v>92</v>
      </c>
      <c r="I13" s="16" t="n">
        <v>0</v>
      </c>
      <c r="J13" s="16" t="s">
        <v>93</v>
      </c>
      <c r="K13" s="16" t="s">
        <v>105</v>
      </c>
    </row>
    <row r="14" customFormat="false" ht="18" hidden="false" customHeight="true" outlineLevel="0" collapsed="false">
      <c r="A14" s="21" t="n">
        <v>2024</v>
      </c>
      <c r="B14" s="23" t="s">
        <v>30</v>
      </c>
      <c r="C14" s="23" t="s">
        <v>31</v>
      </c>
      <c r="D14" s="23" t="s">
        <v>106</v>
      </c>
      <c r="E14" s="23" t="s">
        <v>102</v>
      </c>
      <c r="F14" s="23" t="s">
        <v>101</v>
      </c>
      <c r="G14" s="48" t="s">
        <v>74</v>
      </c>
      <c r="H14" s="18" t="s">
        <v>75</v>
      </c>
      <c r="I14" s="23" t="n">
        <v>0</v>
      </c>
      <c r="J14" s="23" t="s">
        <v>107</v>
      </c>
      <c r="K14" s="23" t="s">
        <v>32</v>
      </c>
    </row>
    <row r="15" customFormat="false" ht="18" hidden="false" customHeight="true" outlineLevel="0" collapsed="false">
      <c r="A15" s="14" t="n">
        <v>2024</v>
      </c>
      <c r="B15" s="16" t="s">
        <v>30</v>
      </c>
      <c r="C15" s="16" t="s">
        <v>31</v>
      </c>
      <c r="D15" s="16" t="s">
        <v>108</v>
      </c>
      <c r="E15" s="16" t="s">
        <v>73</v>
      </c>
      <c r="F15" s="16" t="s">
        <v>72</v>
      </c>
      <c r="G15" s="48" t="s">
        <v>74</v>
      </c>
      <c r="H15" s="18" t="s">
        <v>75</v>
      </c>
      <c r="I15" s="16" t="n">
        <v>0</v>
      </c>
      <c r="J15" s="16" t="s">
        <v>109</v>
      </c>
      <c r="K15" s="16" t="s">
        <v>105</v>
      </c>
    </row>
    <row r="16" customFormat="false" ht="18" hidden="false" customHeight="true" outlineLevel="0" collapsed="false">
      <c r="A16" s="21" t="n">
        <v>2024</v>
      </c>
      <c r="B16" s="23" t="s">
        <v>30</v>
      </c>
      <c r="C16" s="23" t="s">
        <v>31</v>
      </c>
      <c r="D16" s="23" t="s">
        <v>110</v>
      </c>
      <c r="E16" s="23" t="s">
        <v>112</v>
      </c>
      <c r="F16" s="23" t="s">
        <v>111</v>
      </c>
      <c r="G16" s="48" t="s">
        <v>74</v>
      </c>
      <c r="H16" s="18" t="s">
        <v>75</v>
      </c>
      <c r="I16" s="23" t="n">
        <v>0</v>
      </c>
      <c r="J16" s="23" t="s">
        <v>113</v>
      </c>
      <c r="K16" s="23" t="s">
        <v>77</v>
      </c>
    </row>
    <row r="17" customFormat="false" ht="18" hidden="false" customHeight="true" outlineLevel="0" collapsed="false">
      <c r="A17" s="14" t="n">
        <v>2025</v>
      </c>
      <c r="B17" s="16" t="s">
        <v>24</v>
      </c>
      <c r="C17" s="16" t="s">
        <v>33</v>
      </c>
      <c r="D17" s="16" t="s">
        <v>126</v>
      </c>
      <c r="E17" s="16" t="s">
        <v>80</v>
      </c>
      <c r="F17" s="16" t="s">
        <v>79</v>
      </c>
      <c r="G17" s="48" t="s">
        <v>74</v>
      </c>
      <c r="H17" s="18" t="s">
        <v>75</v>
      </c>
      <c r="I17" s="16" t="n">
        <v>0</v>
      </c>
      <c r="J17" s="16" t="s">
        <v>127</v>
      </c>
      <c r="K17" s="16" t="s">
        <v>28</v>
      </c>
    </row>
    <row r="18" customFormat="false" ht="18" hidden="false" customHeight="true" outlineLevel="0" collapsed="false">
      <c r="A18" s="21" t="n">
        <v>2025</v>
      </c>
      <c r="B18" s="23" t="s">
        <v>24</v>
      </c>
      <c r="C18" s="23" t="s">
        <v>33</v>
      </c>
      <c r="D18" s="23" t="s">
        <v>128</v>
      </c>
      <c r="E18" s="23" t="s">
        <v>73</v>
      </c>
      <c r="F18" s="23" t="s">
        <v>72</v>
      </c>
      <c r="G18" s="48" t="s">
        <v>74</v>
      </c>
      <c r="H18" s="18" t="s">
        <v>75</v>
      </c>
      <c r="I18" s="23" t="n">
        <v>0</v>
      </c>
      <c r="J18" s="23" t="s">
        <v>129</v>
      </c>
      <c r="K18" s="23" t="s">
        <v>130</v>
      </c>
    </row>
    <row r="19" customFormat="false" ht="18" hidden="false" customHeight="true" outlineLevel="0" collapsed="false">
      <c r="A19" s="14" t="n">
        <v>2025</v>
      </c>
      <c r="B19" s="16" t="s">
        <v>24</v>
      </c>
      <c r="C19" s="16" t="s">
        <v>33</v>
      </c>
      <c r="D19" s="16" t="s">
        <v>131</v>
      </c>
      <c r="E19" s="16" t="s">
        <v>73</v>
      </c>
      <c r="F19" s="16" t="s">
        <v>72</v>
      </c>
      <c r="G19" s="48" t="s">
        <v>74</v>
      </c>
      <c r="H19" s="18" t="s">
        <v>75</v>
      </c>
      <c r="I19" s="16" t="n">
        <v>0</v>
      </c>
      <c r="J19" s="16" t="s">
        <v>132</v>
      </c>
      <c r="K19" s="16" t="s">
        <v>133</v>
      </c>
    </row>
    <row r="20" customFormat="false" ht="18" hidden="false" customHeight="true" outlineLevel="0" collapsed="false">
      <c r="A20" s="21" t="n">
        <v>2025</v>
      </c>
      <c r="B20" s="23" t="s">
        <v>24</v>
      </c>
      <c r="C20" s="23" t="s">
        <v>33</v>
      </c>
      <c r="D20" s="23" t="s">
        <v>134</v>
      </c>
      <c r="E20" s="23" t="s">
        <v>80</v>
      </c>
      <c r="F20" s="23" t="s">
        <v>79</v>
      </c>
      <c r="G20" s="48" t="s">
        <v>74</v>
      </c>
      <c r="H20" s="18" t="s">
        <v>75</v>
      </c>
      <c r="I20" s="23" t="n">
        <v>0</v>
      </c>
      <c r="J20" s="23" t="s">
        <v>135</v>
      </c>
      <c r="K20" s="23" t="s">
        <v>133</v>
      </c>
    </row>
    <row r="21" customFormat="false" ht="18" hidden="false" customHeight="true" outlineLevel="0" collapsed="false">
      <c r="A21" s="14" t="n">
        <v>2025</v>
      </c>
      <c r="B21" s="16" t="s">
        <v>24</v>
      </c>
      <c r="C21" s="16" t="s">
        <v>33</v>
      </c>
      <c r="D21" s="16" t="s">
        <v>136</v>
      </c>
      <c r="E21" s="16" t="s">
        <v>92</v>
      </c>
      <c r="F21" s="16" t="s">
        <v>92</v>
      </c>
      <c r="G21" s="48" t="s">
        <v>74</v>
      </c>
      <c r="H21" s="18" t="s">
        <v>92</v>
      </c>
      <c r="I21" s="16" t="n">
        <v>0</v>
      </c>
      <c r="J21" s="16" t="s">
        <v>93</v>
      </c>
      <c r="K21" s="16" t="s">
        <v>105</v>
      </c>
    </row>
    <row r="22" customFormat="false" ht="18" hidden="false" customHeight="true" outlineLevel="0" collapsed="false">
      <c r="A22" s="21" t="n">
        <v>2025</v>
      </c>
      <c r="B22" s="23" t="s">
        <v>24</v>
      </c>
      <c r="C22" s="23" t="s">
        <v>33</v>
      </c>
      <c r="D22" s="23" t="s">
        <v>137</v>
      </c>
      <c r="E22" s="23" t="s">
        <v>73</v>
      </c>
      <c r="F22" s="23" t="s">
        <v>138</v>
      </c>
      <c r="G22" s="48" t="s">
        <v>74</v>
      </c>
      <c r="H22" s="18" t="s">
        <v>75</v>
      </c>
      <c r="I22" s="23" t="n">
        <v>0</v>
      </c>
      <c r="J22" s="23" t="s">
        <v>139</v>
      </c>
      <c r="K22" s="50" t="s">
        <v>140</v>
      </c>
    </row>
    <row r="23" customFormat="false" ht="18" hidden="false" customHeight="true" outlineLevel="0" collapsed="false">
      <c r="A23" s="14" t="n">
        <v>2025</v>
      </c>
      <c r="B23" s="16" t="s">
        <v>30</v>
      </c>
      <c r="C23" s="16" t="s">
        <v>34</v>
      </c>
      <c r="D23" s="16" t="s">
        <v>144</v>
      </c>
      <c r="E23" s="16" t="s">
        <v>80</v>
      </c>
      <c r="F23" s="16" t="s">
        <v>79</v>
      </c>
      <c r="G23" s="48" t="s">
        <v>74</v>
      </c>
      <c r="H23" s="18" t="s">
        <v>75</v>
      </c>
      <c r="I23" s="16" t="n">
        <v>0</v>
      </c>
      <c r="J23" s="16" t="s">
        <v>145</v>
      </c>
      <c r="K23" s="16" t="s">
        <v>146</v>
      </c>
    </row>
    <row r="24" customFormat="false" ht="18" hidden="false" customHeight="true" outlineLevel="0" collapsed="false">
      <c r="A24" s="21" t="n">
        <v>2025</v>
      </c>
      <c r="B24" s="23" t="s">
        <v>30</v>
      </c>
      <c r="C24" s="23" t="s">
        <v>34</v>
      </c>
      <c r="D24" s="23" t="s">
        <v>147</v>
      </c>
      <c r="E24" s="23" t="s">
        <v>102</v>
      </c>
      <c r="F24" s="23" t="s">
        <v>101</v>
      </c>
      <c r="G24" s="48" t="s">
        <v>74</v>
      </c>
      <c r="H24" s="18" t="s">
        <v>75</v>
      </c>
      <c r="I24" s="23" t="n">
        <v>0</v>
      </c>
      <c r="J24" s="23" t="s">
        <v>148</v>
      </c>
      <c r="K24" s="23" t="s">
        <v>149</v>
      </c>
    </row>
    <row r="25" customFormat="false" ht="18" hidden="false" customHeight="true" outlineLevel="0" collapsed="false">
      <c r="A25" s="14" t="n">
        <v>2025</v>
      </c>
      <c r="B25" s="16" t="s">
        <v>30</v>
      </c>
      <c r="C25" s="16" t="s">
        <v>34</v>
      </c>
      <c r="D25" s="16" t="s">
        <v>150</v>
      </c>
      <c r="E25" s="16" t="s">
        <v>73</v>
      </c>
      <c r="F25" s="16" t="s">
        <v>72</v>
      </c>
      <c r="G25" s="48" t="s">
        <v>74</v>
      </c>
      <c r="H25" s="18" t="s">
        <v>75</v>
      </c>
      <c r="I25" s="16" t="n">
        <v>0</v>
      </c>
      <c r="J25" s="16" t="s">
        <v>151</v>
      </c>
      <c r="K25" s="16" t="s">
        <v>105</v>
      </c>
    </row>
    <row r="26" customFormat="false" ht="18" hidden="false" customHeight="true" outlineLevel="0" collapsed="false">
      <c r="A26" s="21" t="n">
        <v>2025</v>
      </c>
      <c r="B26" s="23" t="s">
        <v>30</v>
      </c>
      <c r="C26" s="23" t="s">
        <v>34</v>
      </c>
      <c r="D26" s="23" t="s">
        <v>152</v>
      </c>
      <c r="E26" s="23" t="s">
        <v>92</v>
      </c>
      <c r="F26" s="23" t="s">
        <v>92</v>
      </c>
      <c r="G26" s="48" t="s">
        <v>74</v>
      </c>
      <c r="H26" s="18" t="s">
        <v>92</v>
      </c>
      <c r="I26" s="23" t="n">
        <v>0</v>
      </c>
      <c r="J26" s="23" t="s">
        <v>93</v>
      </c>
      <c r="K26" s="23" t="s">
        <v>130</v>
      </c>
    </row>
    <row r="27" customFormat="false" ht="18" hidden="false" customHeight="true" outlineLevel="0" collapsed="false">
      <c r="A27" s="14" t="n">
        <v>2025</v>
      </c>
      <c r="B27" s="16" t="s">
        <v>30</v>
      </c>
      <c r="C27" s="16" t="s">
        <v>34</v>
      </c>
      <c r="D27" s="16" t="s">
        <v>153</v>
      </c>
      <c r="E27" s="16" t="s">
        <v>102</v>
      </c>
      <c r="F27" s="16" t="s">
        <v>101</v>
      </c>
      <c r="G27" s="48" t="s">
        <v>74</v>
      </c>
      <c r="H27" s="18" t="s">
        <v>75</v>
      </c>
      <c r="I27" s="16" t="n">
        <v>0</v>
      </c>
      <c r="J27" s="16" t="s">
        <v>154</v>
      </c>
      <c r="K27" s="16" t="s">
        <v>149</v>
      </c>
    </row>
    <row r="28" customFormat="false" ht="18" hidden="false" customHeight="true" outlineLevel="0" collapsed="false">
      <c r="A28" s="21" t="n">
        <v>2025</v>
      </c>
      <c r="B28" s="23" t="s">
        <v>30</v>
      </c>
      <c r="C28" s="23" t="s">
        <v>34</v>
      </c>
      <c r="D28" s="23" t="s">
        <v>155</v>
      </c>
      <c r="E28" s="23" t="s">
        <v>80</v>
      </c>
      <c r="F28" s="23" t="s">
        <v>79</v>
      </c>
      <c r="G28" s="48" t="s">
        <v>74</v>
      </c>
      <c r="H28" s="18" t="s">
        <v>75</v>
      </c>
      <c r="I28" s="23" t="n">
        <v>0</v>
      </c>
      <c r="J28" s="23" t="s">
        <v>156</v>
      </c>
      <c r="K28" s="23" t="s">
        <v>146</v>
      </c>
    </row>
    <row r="29" customFormat="false" ht="18" hidden="false" customHeight="true" outlineLevel="0" collapsed="false">
      <c r="A29" s="14" t="n">
        <v>2026</v>
      </c>
      <c r="B29" s="16" t="s">
        <v>24</v>
      </c>
      <c r="C29" s="16" t="s">
        <v>36</v>
      </c>
      <c r="D29" s="16" t="s">
        <v>163</v>
      </c>
      <c r="E29" s="16" t="s">
        <v>80</v>
      </c>
      <c r="F29" s="16" t="s">
        <v>79</v>
      </c>
      <c r="G29" s="48" t="s">
        <v>74</v>
      </c>
      <c r="H29" s="18" t="s">
        <v>75</v>
      </c>
      <c r="I29" s="16" t="n">
        <v>0</v>
      </c>
      <c r="J29" s="16" t="s">
        <v>164</v>
      </c>
      <c r="K29" s="16" t="s">
        <v>165</v>
      </c>
    </row>
    <row r="30" customFormat="false" ht="18" hidden="false" customHeight="true" outlineLevel="0" collapsed="false">
      <c r="A30" s="21" t="n">
        <v>2026</v>
      </c>
      <c r="B30" s="23" t="s">
        <v>24</v>
      </c>
      <c r="C30" s="23" t="s">
        <v>36</v>
      </c>
      <c r="D30" s="23" t="s">
        <v>166</v>
      </c>
      <c r="E30" s="23" t="s">
        <v>80</v>
      </c>
      <c r="F30" s="23" t="s">
        <v>79</v>
      </c>
      <c r="G30" s="48" t="s">
        <v>74</v>
      </c>
      <c r="H30" s="18" t="s">
        <v>75</v>
      </c>
      <c r="I30" s="23" t="n">
        <v>0</v>
      </c>
      <c r="J30" s="23" t="s">
        <v>167</v>
      </c>
      <c r="K30" s="23" t="s">
        <v>29</v>
      </c>
    </row>
    <row r="31" customFormat="false" ht="18" hidden="false" customHeight="true" outlineLevel="0" collapsed="false">
      <c r="A31" s="14" t="n">
        <v>2026</v>
      </c>
      <c r="B31" s="16" t="s">
        <v>24</v>
      </c>
      <c r="C31" s="16" t="s">
        <v>36</v>
      </c>
      <c r="D31" s="16" t="s">
        <v>168</v>
      </c>
      <c r="E31" s="16" t="s">
        <v>80</v>
      </c>
      <c r="F31" s="16" t="s">
        <v>79</v>
      </c>
      <c r="G31" s="48" t="s">
        <v>74</v>
      </c>
      <c r="H31" s="18" t="s">
        <v>75</v>
      </c>
      <c r="I31" s="16" t="n">
        <v>0</v>
      </c>
      <c r="J31" s="16" t="s">
        <v>169</v>
      </c>
      <c r="K31" s="16" t="s">
        <v>29</v>
      </c>
    </row>
    <row r="32" customFormat="false" ht="18" hidden="false" customHeight="true" outlineLevel="0" collapsed="false">
      <c r="A32" s="21" t="n">
        <v>2026</v>
      </c>
      <c r="B32" s="23" t="s">
        <v>24</v>
      </c>
      <c r="C32" s="23" t="s">
        <v>36</v>
      </c>
      <c r="D32" s="23" t="s">
        <v>170</v>
      </c>
      <c r="E32" s="23" t="s">
        <v>102</v>
      </c>
      <c r="F32" s="23" t="s">
        <v>101</v>
      </c>
      <c r="G32" s="48" t="s">
        <v>74</v>
      </c>
      <c r="H32" s="18" t="s">
        <v>75</v>
      </c>
      <c r="I32" s="23" t="n">
        <v>0</v>
      </c>
      <c r="J32" s="23" t="s">
        <v>171</v>
      </c>
      <c r="K32" s="23" t="s">
        <v>35</v>
      </c>
    </row>
    <row r="33" customFormat="false" ht="18" hidden="false" customHeight="true" outlineLevel="0" collapsed="false">
      <c r="A33" s="14" t="n">
        <v>2026</v>
      </c>
      <c r="B33" s="16" t="s">
        <v>24</v>
      </c>
      <c r="C33" s="16" t="s">
        <v>36</v>
      </c>
      <c r="D33" s="16" t="s">
        <v>172</v>
      </c>
      <c r="E33" s="16" t="s">
        <v>80</v>
      </c>
      <c r="F33" s="16" t="s">
        <v>79</v>
      </c>
      <c r="G33" s="48" t="s">
        <v>74</v>
      </c>
      <c r="H33" s="18" t="s">
        <v>75</v>
      </c>
      <c r="I33" s="16" t="n">
        <v>0</v>
      </c>
      <c r="J33" s="16" t="s">
        <v>173</v>
      </c>
      <c r="K33" s="16" t="s">
        <v>174</v>
      </c>
    </row>
    <row r="34" customFormat="false" ht="18" hidden="false" customHeight="true" outlineLevel="0" collapsed="false">
      <c r="A34" s="21" t="n">
        <v>2026</v>
      </c>
      <c r="B34" s="23" t="s">
        <v>24</v>
      </c>
      <c r="C34" s="23" t="s">
        <v>36</v>
      </c>
      <c r="D34" s="23" t="s">
        <v>175</v>
      </c>
      <c r="E34" s="23" t="s">
        <v>92</v>
      </c>
      <c r="F34" s="23" t="s">
        <v>92</v>
      </c>
      <c r="G34" s="48" t="s">
        <v>74</v>
      </c>
      <c r="H34" s="18" t="s">
        <v>92</v>
      </c>
      <c r="I34" s="23" t="n">
        <v>0</v>
      </c>
      <c r="J34" s="23" t="s">
        <v>93</v>
      </c>
      <c r="K34" s="23" t="s">
        <v>37</v>
      </c>
    </row>
  </sheetData>
  <mergeCells count="1"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2026-06-13T16:34:33Z</dcterms:created>
  <dc:creator>openpyxl</dc:creator>
  <dc:description/>
  <dc:language>en-US</dc:language>
  <cp:lastModifiedBy/>
  <dcterms:modified xsi:type="dcterms:W3CDTF">2026-06-13T16:34:47Z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