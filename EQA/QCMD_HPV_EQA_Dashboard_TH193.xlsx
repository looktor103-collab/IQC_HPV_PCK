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2024" sheetId="2" r:id="rId6"/>
    <sheet state="visible" name="2025" sheetId="3" r:id="rId7"/>
    <sheet state="visible" name="2026" sheetId="4" r:id="rId8"/>
    <sheet state="visible" name="Genotype Analysis" sheetId="5" r:id="rId9"/>
    <sheet state="visible" name="Raw Data" sheetId="6" r:id="rId10"/>
  </sheets>
  <definedNames/>
  <calcPr/>
</workbook>
</file>

<file path=xl/sharedStrings.xml><?xml version="1.0" encoding="utf-8"?>
<sst xmlns="http://schemas.openxmlformats.org/spreadsheetml/2006/main" count="861" uniqueCount="201">
  <si>
    <t>🔬   QCMD HPV EQA Performance Dashboard</t>
  </si>
  <si>
    <t>QCMD HPV PreservCyt (QAV094130)  │  Laboratory TH193 - Thailand  │  Roche Cobas HPV (v4)  │  Cobas 5800/6800/8800  │  Reporting Period: 2024–2026</t>
  </si>
  <si>
    <t xml:space="preserve">  KEY PERFORMANCE INDICATORS</t>
  </si>
  <si>
    <t>5</t>
  </si>
  <si>
    <t>5/5</t>
  </si>
  <si>
    <t>100%</t>
  </si>
  <si>
    <t>Challenges
Completed</t>
  </si>
  <si>
    <t>PASS
All Challenges</t>
  </si>
  <si>
    <t>Sensitivity
(All Samples)</t>
  </si>
  <si>
    <t>Specificity
(All Samples)</t>
  </si>
  <si>
    <t>30
Total Samples Tested</t>
  </si>
  <si>
    <t>29
CORE Samples</t>
  </si>
  <si>
    <t>1
Educational Sample</t>
  </si>
  <si>
    <t>98.4%
Avg Peer % Correct (CORE)</t>
  </si>
  <si>
    <t xml:space="preserve">  ANNUAL PERFORMANCE SUMMARY — Challenge-by-Challenge</t>
  </si>
  <si>
    <t>Year</t>
  </si>
  <si>
    <t>Challenge</t>
  </si>
  <si>
    <t>Date</t>
  </si>
  <si>
    <t>Datasets</t>
  </si>
  <si>
    <t>Core Score</t>
  </si>
  <si>
    <t>EQA Result</t>
  </si>
  <si>
    <t>Sensitivity</t>
  </si>
  <si>
    <t>Specificity</t>
  </si>
  <si>
    <t>Avg Peer %</t>
  </si>
  <si>
    <t>C1</t>
  </si>
  <si>
    <t>May 2024</t>
  </si>
  <si>
    <t>Score: 0  ✓</t>
  </si>
  <si>
    <t>✅  PASS</t>
  </si>
  <si>
    <t>100.0%</t>
  </si>
  <si>
    <t>99.1%</t>
  </si>
  <si>
    <t>C2</t>
  </si>
  <si>
    <t>Oct 2024</t>
  </si>
  <si>
    <t>98.5%</t>
  </si>
  <si>
    <t>May 2025</t>
  </si>
  <si>
    <t>Oct 2025</t>
  </si>
  <si>
    <t>98.7%</t>
  </si>
  <si>
    <t>May 2026</t>
  </si>
  <si>
    <t>98.2%</t>
  </si>
  <si>
    <t xml:space="preserve">  QUICK NAVIGATION — Click to jump to detailed reports</t>
  </si>
  <si>
    <t>→  2024 Detailed Results</t>
  </si>
  <si>
    <t>→  2025 Detailed Results</t>
  </si>
  <si>
    <t>→  2026 Detailed Results</t>
  </si>
  <si>
    <t>→  Genotype Analysis</t>
  </si>
  <si>
    <t>Avg Peer % (CORE)</t>
  </si>
  <si>
    <t>TH193 (100%)</t>
  </si>
  <si>
    <t>2024 C1</t>
  </si>
  <si>
    <t>2024 C2</t>
  </si>
  <si>
    <t>2025 C1</t>
  </si>
  <si>
    <t>2025 C2</t>
  </si>
  <si>
    <t>2026 C1</t>
  </si>
  <si>
    <t>🗓  2024 EQA Results — Laboratory TH193</t>
  </si>
  <si>
    <t>QCMD HPV PreservCyt │ QAV094130 │ Roche Cobas HPV (v4) │ Cobas 5800/6800/8800</t>
  </si>
  <si>
    <t>← Dashboard</t>
  </si>
  <si>
    <t xml:space="preserve">  Challenge C1  ─  May 2024</t>
  </si>
  <si>
    <t>Datasets: 191</t>
  </si>
  <si>
    <t>Participants: 178</t>
  </si>
  <si>
    <t>Countries: 30</t>
  </si>
  <si>
    <t>Core Score: 0 (Highly Satisfactory)</t>
  </si>
  <si>
    <t>Sensitivity: 100.0%  (TP=5/5)</t>
  </si>
  <si>
    <t>Specificity: 100.0%  (TN=1/1)</t>
  </si>
  <si>
    <t>EQA Result: ✅ PASS</t>
  </si>
  <si>
    <t>Avg Peer %: 99.1%</t>
  </si>
  <si>
    <t>Sample</t>
  </si>
  <si>
    <t>Content</t>
  </si>
  <si>
    <t>HPV Type</t>
  </si>
  <si>
    <t>Status</t>
  </si>
  <si>
    <t>Expected</t>
  </si>
  <si>
    <t>TH193 Result</t>
  </si>
  <si>
    <t>Det. Score</t>
  </si>
  <si>
    <t>CT Value</t>
  </si>
  <si>
    <t>Peer % Correct</t>
  </si>
  <si>
    <t>HPVPRES24C1-01</t>
  </si>
  <si>
    <t>HPV18 (Hela)</t>
  </si>
  <si>
    <t>HPV18</t>
  </si>
  <si>
    <t>CORE</t>
  </si>
  <si>
    <t>Positive</t>
  </si>
  <si>
    <t>29.70</t>
  </si>
  <si>
    <t>99.0%</t>
  </si>
  <si>
    <t>HPVPRES24C1-02</t>
  </si>
  <si>
    <t>HPV16 (Caski)</t>
  </si>
  <si>
    <t>HPV16</t>
  </si>
  <si>
    <t>26.44</t>
  </si>
  <si>
    <t>99.5%</t>
  </si>
  <si>
    <t>HPVPRES24C1-03</t>
  </si>
  <si>
    <t>26.53</t>
  </si>
  <si>
    <t>HPVPRES24C1-04</t>
  </si>
  <si>
    <t>23.51</t>
  </si>
  <si>
    <t>HPVPRES24C1-05</t>
  </si>
  <si>
    <t>EDUCATIONAL</t>
  </si>
  <si>
    <t>31.05</t>
  </si>
  <si>
    <t>84.8%</t>
  </si>
  <si>
    <t>HPVPRES24C1-06</t>
  </si>
  <si>
    <t>Negative</t>
  </si>
  <si>
    <t>—</t>
  </si>
  <si>
    <t xml:space="preserve">  Challenge C2  ─  Oct 2024</t>
  </si>
  <si>
    <t>Datasets: 196</t>
  </si>
  <si>
    <t>Participants: 180</t>
  </si>
  <si>
    <t>Avg Peer %: 98.5%</t>
  </si>
  <si>
    <t>HPVPRES24C2-01</t>
  </si>
  <si>
    <t>25.49</t>
  </si>
  <si>
    <t>HPVPRES24C2-02</t>
  </si>
  <si>
    <t>HPV45 (CC10b)</t>
  </si>
  <si>
    <t>HPV45</t>
  </si>
  <si>
    <t>26.63</t>
  </si>
  <si>
    <t>HPVPRES24C2-03</t>
  </si>
  <si>
    <t>98.0%</t>
  </si>
  <si>
    <t>HPVPRES24C2-04</t>
  </si>
  <si>
    <t>26.54</t>
  </si>
  <si>
    <t>HPVPRES24C2-05</t>
  </si>
  <si>
    <t>26.75</t>
  </si>
  <si>
    <t>HPVPRES24C2-06</t>
  </si>
  <si>
    <t>HPV16+HPV18</t>
  </si>
  <si>
    <t>HPV16+18</t>
  </si>
  <si>
    <t>27.16</t>
  </si>
  <si>
    <t>Peer %</t>
  </si>
  <si>
    <t>S01</t>
  </si>
  <si>
    <t>S02</t>
  </si>
  <si>
    <t>S03</t>
  </si>
  <si>
    <t>S04</t>
  </si>
  <si>
    <t>S05</t>
  </si>
  <si>
    <t>S06</t>
  </si>
  <si>
    <t>🗓  2025 EQA Results — Laboratory TH193</t>
  </si>
  <si>
    <t xml:space="preserve">  Challenge C1  ─  May 2025</t>
  </si>
  <si>
    <t>Datasets: 256</t>
  </si>
  <si>
    <t>Participants: 225</t>
  </si>
  <si>
    <t>Countries: 29</t>
  </si>
  <si>
    <t>HPVPRES25C1-01</t>
  </si>
  <si>
    <t>27.26</t>
  </si>
  <si>
    <t>HPVPRES25C1-02</t>
  </si>
  <si>
    <t>27.37</t>
  </si>
  <si>
    <t>98.8%</t>
  </si>
  <si>
    <t>HPVPRES25C1-03</t>
  </si>
  <si>
    <t>23.43</t>
  </si>
  <si>
    <t>99.6%</t>
  </si>
  <si>
    <t>HPVPRES25C1-04</t>
  </si>
  <si>
    <t>27.21</t>
  </si>
  <si>
    <t>HPVPRES25C1-05</t>
  </si>
  <si>
    <t>HPVPRES25C1-06</t>
  </si>
  <si>
    <t>HPV18 low (Hela)</t>
  </si>
  <si>
    <t>30.15</t>
  </si>
  <si>
    <t>94.9%</t>
  </si>
  <si>
    <t xml:space="preserve">  Challenge C2  ─  Oct 2025</t>
  </si>
  <si>
    <t>Datasets: 253</t>
  </si>
  <si>
    <t>Avg Peer %: 98.7%</t>
  </si>
  <si>
    <t>HPVPRES25C2-01</t>
  </si>
  <si>
    <t>25.39</t>
  </si>
  <si>
    <t>99.2%</t>
  </si>
  <si>
    <t>HPVPRES25C2-02</t>
  </si>
  <si>
    <t>27.70</t>
  </si>
  <si>
    <t>98.4%</t>
  </si>
  <si>
    <t>HPVPRES25C2-03</t>
  </si>
  <si>
    <t>26.48</t>
  </si>
  <si>
    <t>HPVPRES25C2-04</t>
  </si>
  <si>
    <t>HPVPRES25C2-05</t>
  </si>
  <si>
    <t>27.55</t>
  </si>
  <si>
    <t>HPVPRES25C2-06</t>
  </si>
  <si>
    <t>24.91</t>
  </si>
  <si>
    <t>🗓  2026 EQA Results — Laboratory TH193</t>
  </si>
  <si>
    <t xml:space="preserve">  Challenge C1  ─  May 2026</t>
  </si>
  <si>
    <t>Datasets: 225</t>
  </si>
  <si>
    <t>Participants: 195</t>
  </si>
  <si>
    <t>Countries: 31</t>
  </si>
  <si>
    <t>Avg Peer %: 98.2%</t>
  </si>
  <si>
    <t>HPVPRES26C1-01</t>
  </si>
  <si>
    <t>28.41</t>
  </si>
  <si>
    <t>96.9%</t>
  </si>
  <si>
    <t>HPVPRES26C1-02</t>
  </si>
  <si>
    <t>25.63</t>
  </si>
  <si>
    <t>HPVPRES26C1-03</t>
  </si>
  <si>
    <t>26.16</t>
  </si>
  <si>
    <t>HPVPRES26C1-04</t>
  </si>
  <si>
    <t>26.64</t>
  </si>
  <si>
    <t>HPVPRES26C1-05</t>
  </si>
  <si>
    <t>29.99</t>
  </si>
  <si>
    <t>97.3%</t>
  </si>
  <si>
    <t>HPVPRES26C1-06</t>
  </si>
  <si>
    <t>🧬  HPV Genotype Analysis — Laboratory TH193</t>
  </si>
  <si>
    <t>Breakdown of HPV genotypes across all EQA challenges  |  2024–2026</t>
  </si>
  <si>
    <t xml:space="preserve">  GENOTYPE FREQUENCY — All Challenges (2024–2026)</t>
  </si>
  <si>
    <t>Samples (All)</t>
  </si>
  <si>
    <t>Avg CT</t>
  </si>
  <si>
    <t>Min CT</t>
  </si>
  <si>
    <t>Max CT</t>
  </si>
  <si>
    <t>27.09</t>
  </si>
  <si>
    <t>26.74</t>
  </si>
  <si>
    <t>98.3%</t>
  </si>
  <si>
    <t>27.01</t>
  </si>
  <si>
    <t>98.6%</t>
  </si>
  <si>
    <t xml:space="preserve">  GENOTYPE × CHALLENGE MATRIX — Sample count per challenge</t>
  </si>
  <si>
    <t>Total</t>
  </si>
  <si>
    <t>N/A</t>
  </si>
  <si>
    <t xml:space="preserve">  SENSITIVITY &amp; SPECIFICITY ANALYSIS — By Challenge</t>
  </si>
  <si>
    <t>Month</t>
  </si>
  <si>
    <t>True Positive</t>
  </si>
  <si>
    <t>False Negative</t>
  </si>
  <si>
    <t>True Negative</t>
  </si>
  <si>
    <t>False Positive</t>
  </si>
  <si>
    <t>Genotype</t>
  </si>
  <si>
    <t># Samples</t>
  </si>
  <si>
    <t>📋  Raw Sample Data — All Challenges 2024–2026  |  Laboratory TH193</t>
  </si>
  <si>
    <t>Sample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</si>
</sst>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22.0"/>
      <color rgb="FFFFFFFF"/>
      <name val="Arial"/>
    </font>
    <font/>
    <font>
      <i/>
      <sz val="10.0"/>
      <color rgb="FFFFFFFF"/>
      <name val="Arial"/>
    </font>
    <font>
      <b/>
      <sz val="9.0"/>
      <color rgb="FFBDC3C7"/>
      <name val="Arial"/>
    </font>
    <font>
      <b/>
      <sz val="36.0"/>
      <color rgb="FFFFFFFF"/>
      <name val="Arial"/>
    </font>
    <font>
      <sz val="10.0"/>
      <color rgb="FFFFFFFF"/>
      <name val="Arial"/>
    </font>
    <font>
      <b/>
      <sz val="10.0"/>
      <color rgb="FFFFFFFF"/>
      <name val="Arial"/>
    </font>
    <font>
      <b/>
      <sz val="11.0"/>
      <color rgb="FF1B3A5C"/>
      <name val="Arial"/>
    </font>
    <font>
      <b/>
      <sz val="10.0"/>
      <color rgb="FF1B3A5C"/>
      <name val="Arial"/>
    </font>
    <font>
      <b/>
      <sz val="10.0"/>
      <color rgb="FF006D77"/>
      <name val="Arial"/>
    </font>
    <font>
      <sz val="10.0"/>
      <color rgb="FF2C3E50"/>
      <name val="Arial"/>
    </font>
    <font>
      <sz val="10.0"/>
      <color rgb="FF1A7A41"/>
      <name val="Arial"/>
    </font>
    <font>
      <b/>
      <sz val="10.0"/>
      <color rgb="FF1A7A41"/>
      <name val="Arial"/>
    </font>
    <font>
      <b/>
      <sz val="10.0"/>
      <color rgb="FF145A32"/>
      <name val="Arial"/>
    </font>
    <font>
      <sz val="10.0"/>
      <color rgb="FF154360"/>
      <name val="Arial"/>
    </font>
    <font>
      <b/>
      <u/>
      <sz val="11.0"/>
      <color rgb="FFFFFFFF"/>
      <name val="Arial"/>
    </font>
    <font>
      <b/>
      <u/>
      <sz val="11.0"/>
      <color rgb="FFFFFFFF"/>
      <name val="Arial"/>
    </font>
    <font>
      <b/>
      <u/>
      <sz val="11.0"/>
      <color rgb="FFFFFFFF"/>
      <name val="Arial"/>
    </font>
    <font>
      <b/>
      <u/>
      <sz val="11.0"/>
      <color rgb="FFFFFFFF"/>
      <name val="Arial"/>
    </font>
    <font>
      <color theme="1"/>
      <name val="Calibri"/>
      <scheme val="minor"/>
    </font>
    <font>
      <b/>
      <sz val="20.0"/>
      <color rgb="FFFFFFFF"/>
      <name val="Arial"/>
    </font>
    <font>
      <b/>
      <u/>
      <sz val="10.0"/>
      <color rgb="FFFFFFFF"/>
      <name val="Arial"/>
    </font>
    <font>
      <sz val="11.0"/>
      <color rgb="FFFFFFFF"/>
      <name val="Arial"/>
    </font>
    <font>
      <b/>
      <sz val="14.0"/>
      <color rgb="FFFFFFFF"/>
      <name val="Arial"/>
    </font>
    <font>
      <b/>
      <sz val="10.0"/>
      <color rgb="FF154360"/>
      <name val="Arial"/>
    </font>
    <font>
      <b/>
      <sz val="10.0"/>
      <color rgb="FF9A7D0A"/>
      <name val="Arial"/>
    </font>
    <font>
      <b/>
      <sz val="10.0"/>
      <color rgb="FF6C3483"/>
      <name val="Arial"/>
    </font>
    <font>
      <b/>
      <sz val="10.0"/>
      <color rgb="FF2C3E50"/>
      <name val="Arial"/>
    </font>
    <font>
      <b/>
      <sz val="16.0"/>
      <color rgb="FFFFFFFF"/>
      <name val="Arial"/>
    </font>
    <font>
      <sz val="10.0"/>
      <color rgb="FF9A7D0A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006D77"/>
        <bgColor rgb="FF006D77"/>
      </patternFill>
    </fill>
    <fill>
      <patternFill patternType="solid">
        <fgColor rgb="FFF4F6F7"/>
        <bgColor rgb="FFF4F6F7"/>
      </patternFill>
    </fill>
    <fill>
      <patternFill patternType="solid">
        <fgColor rgb="FF1A7A41"/>
        <bgColor rgb="FF1A7A41"/>
      </patternFill>
    </fill>
    <fill>
      <patternFill patternType="solid">
        <fgColor rgb="FF154360"/>
        <bgColor rgb="FF154360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2A9D8F"/>
        <bgColor rgb="FF2A9D8F"/>
      </patternFill>
    </fill>
    <fill>
      <patternFill patternType="solid">
        <fgColor rgb="FFD6EAF8"/>
        <bgColor rgb="FFD6EAF8"/>
      </patternFill>
    </fill>
    <fill>
      <patternFill patternType="solid">
        <fgColor rgb="FFFEF9E7"/>
        <bgColor rgb="FFFEF9E7"/>
      </patternFill>
    </fill>
    <fill>
      <patternFill patternType="solid">
        <fgColor rgb="FFE8DAEF"/>
        <bgColor rgb="FFE8DAE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8" fontId="9" numFmtId="0" xfId="0" applyAlignment="1" applyBorder="1" applyFill="1" applyFont="1">
      <alignment horizontal="center" shrinkToFit="0" vertical="center" wrapText="0"/>
    </xf>
    <xf borderId="4" fillId="8" fontId="10" numFmtId="0" xfId="0" applyAlignment="1" applyBorder="1" applyFont="1">
      <alignment horizontal="center" shrinkToFit="0" vertical="center" wrapText="0"/>
    </xf>
    <xf borderId="4" fillId="8" fontId="11" numFmtId="0" xfId="0" applyAlignment="1" applyBorder="1" applyFont="1">
      <alignment horizontal="center" shrinkToFit="0" vertical="center" wrapText="0"/>
    </xf>
    <xf borderId="4" fillId="8" fontId="12" numFmtId="0" xfId="0" applyAlignment="1" applyBorder="1" applyFont="1">
      <alignment horizontal="center" shrinkToFit="0" vertical="center" wrapText="0"/>
    </xf>
    <xf borderId="4" fillId="9" fontId="13" numFmtId="0" xfId="0" applyAlignment="1" applyBorder="1" applyFill="1" applyFont="1">
      <alignment horizontal="center" shrinkToFit="0" vertical="center" wrapText="0"/>
    </xf>
    <xf borderId="4" fillId="9" fontId="14" numFmtId="0" xfId="0" applyAlignment="1" applyBorder="1" applyFont="1">
      <alignment horizontal="center" shrinkToFit="0" vertical="center" wrapText="0"/>
    </xf>
    <xf borderId="4" fillId="8" fontId="15" numFmtId="0" xfId="0" applyAlignment="1" applyBorder="1" applyFont="1">
      <alignment horizontal="center" shrinkToFit="0" vertical="center" wrapText="0"/>
    </xf>
    <xf borderId="4" fillId="4" fontId="9" numFmtId="0" xfId="0" applyAlignment="1" applyBorder="1" applyFont="1">
      <alignment horizontal="center" shrinkToFit="0" vertical="center" wrapText="0"/>
    </xf>
    <xf borderId="4" fillId="4" fontId="10" numFmtId="0" xfId="0" applyAlignment="1" applyBorder="1" applyFont="1">
      <alignment horizontal="center" shrinkToFit="0" vertical="center" wrapText="0"/>
    </xf>
    <xf borderId="4" fillId="4" fontId="11" numFmtId="0" xfId="0" applyAlignment="1" applyBorder="1" applyFont="1">
      <alignment horizontal="center" shrinkToFit="0" vertical="center" wrapText="0"/>
    </xf>
    <xf borderId="4" fillId="4" fontId="12" numFmtId="0" xfId="0" applyAlignment="1" applyBorder="1" applyFont="1">
      <alignment horizontal="center" shrinkToFit="0" vertical="center" wrapText="0"/>
    </xf>
    <xf borderId="4" fillId="4" fontId="15" numFmtId="0" xfId="0" applyAlignment="1" applyBorder="1" applyFont="1">
      <alignment horizontal="center" shrinkToFit="0" vertical="center" wrapText="0"/>
    </xf>
    <xf borderId="1" fillId="3" fontId="16" numFmtId="0" xfId="0" applyAlignment="1" applyBorder="1" applyFont="1">
      <alignment horizontal="center" shrinkToFit="0" vertical="center" wrapText="0"/>
    </xf>
    <xf borderId="1" fillId="10" fontId="17" numFmtId="0" xfId="0" applyAlignment="1" applyBorder="1" applyFill="1" applyFont="1">
      <alignment horizontal="center" shrinkToFit="0" vertical="center" wrapText="0"/>
    </xf>
    <xf borderId="1" fillId="6" fontId="18" numFmtId="0" xfId="0" applyAlignment="1" applyBorder="1" applyFont="1">
      <alignment horizontal="center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0" fillId="0" fontId="20" numFmtId="0" xfId="0" applyFont="1"/>
    <xf borderId="1" fillId="2" fontId="21" numFmtId="0" xfId="0" applyAlignment="1" applyBorder="1" applyFont="1">
      <alignment horizontal="center" shrinkToFit="0" vertical="center" wrapText="0"/>
    </xf>
    <xf borderId="1" fillId="3" fontId="22" numFmtId="0" xfId="0" applyAlignment="1" applyBorder="1" applyFont="1">
      <alignment horizontal="center" shrinkToFit="0" vertical="center" wrapText="0"/>
    </xf>
    <xf borderId="1" fillId="4" fontId="23" numFmtId="0" xfId="0" applyAlignment="1" applyBorder="1" applyFont="1">
      <alignment horizontal="center" shrinkToFit="0" vertical="center" wrapText="0"/>
    </xf>
    <xf borderId="1" fillId="3" fontId="24" numFmtId="0" xfId="0" applyAlignment="1" applyBorder="1" applyFont="1">
      <alignment horizontal="left" shrinkToFit="0" vertical="center" wrapText="0"/>
    </xf>
    <xf borderId="5" fillId="7" fontId="11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5" fillId="9" fontId="13" numFmtId="0" xfId="0" applyAlignment="1" applyBorder="1" applyFont="1">
      <alignment horizontal="center" shrinkToFit="0" vertical="center" wrapText="0"/>
    </xf>
    <xf borderId="5" fillId="9" fontId="14" numFmtId="0" xfId="0" applyAlignment="1" applyBorder="1" applyFont="1">
      <alignment horizontal="center" shrinkToFit="0" vertical="center" wrapText="0"/>
    </xf>
    <xf borderId="5" fillId="11" fontId="25" numFmtId="0" xfId="0" applyAlignment="1" applyBorder="1" applyFill="1" applyFont="1">
      <alignment horizontal="center" shrinkToFit="0" vertical="center" wrapText="0"/>
    </xf>
    <xf borderId="7" fillId="0" fontId="2" numFmtId="0" xfId="0" applyBorder="1" applyFont="1"/>
    <xf borderId="4" fillId="3" fontId="7" numFmtId="0" xfId="0" applyAlignment="1" applyBorder="1" applyFont="1">
      <alignment horizontal="center" shrinkToFit="0" vertical="center" wrapText="1"/>
    </xf>
    <xf borderId="4" fillId="11" fontId="25" numFmtId="0" xfId="0" applyAlignment="1" applyBorder="1" applyFont="1">
      <alignment horizontal="center" shrinkToFit="0" vertical="center" wrapText="0"/>
    </xf>
    <xf borderId="4" fillId="9" fontId="12" numFmtId="0" xfId="0" applyAlignment="1" applyBorder="1" applyFont="1">
      <alignment horizontal="center" shrinkToFit="0" vertical="center" wrapText="0"/>
    </xf>
    <xf borderId="4" fillId="12" fontId="26" numFmtId="0" xfId="0" applyAlignment="1" applyBorder="1" applyFill="1" applyFont="1">
      <alignment horizontal="center" shrinkToFit="0" vertical="center" wrapText="0"/>
    </xf>
    <xf borderId="4" fillId="12" fontId="15" numFmtId="0" xfId="0" applyAlignment="1" applyBorder="1" applyFont="1">
      <alignment horizontal="center" shrinkToFit="0" vertical="center" wrapText="0"/>
    </xf>
    <xf borderId="1" fillId="6" fontId="24" numFmtId="0" xfId="0" applyAlignment="1" applyBorder="1" applyFont="1">
      <alignment horizontal="left" shrinkToFit="0" vertical="center" wrapText="0"/>
    </xf>
    <xf borderId="4" fillId="6" fontId="7" numFmtId="0" xfId="0" applyAlignment="1" applyBorder="1" applyFont="1">
      <alignment horizontal="center" shrinkToFit="0" vertical="center" wrapText="1"/>
    </xf>
    <xf borderId="4" fillId="13" fontId="27" numFmtId="0" xfId="0" applyAlignment="1" applyBorder="1" applyFill="1" applyFont="1">
      <alignment horizontal="center" shrinkToFit="0" vertical="center" wrapText="0"/>
    </xf>
    <xf borderId="4" fillId="4" fontId="28" numFmtId="0" xfId="0" applyAlignment="1" applyBorder="1" applyFont="1">
      <alignment horizontal="center" shrinkToFit="0" vertical="center" wrapText="0"/>
    </xf>
    <xf borderId="1" fillId="2" fontId="29" numFmtId="0" xfId="0" applyAlignment="1" applyBorder="1" applyFont="1">
      <alignment horizontal="center" shrinkToFit="0" vertical="center" wrapText="0"/>
    </xf>
    <xf borderId="4" fillId="11" fontId="15" numFmtId="0" xfId="0" applyAlignment="1" applyBorder="1" applyFont="1">
      <alignment horizontal="center" shrinkToFit="0" vertical="center" wrapText="0"/>
    </xf>
    <xf borderId="4" fillId="12" fontId="30" numFmtId="0" xfId="0" applyAlignment="1" applyBorder="1" applyFont="1">
      <alignment horizontal="center" shrinkToFit="0" vertical="center" wrapText="0"/>
    </xf>
    <xf borderId="4" fillId="12" fontId="1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Peer Group % Correct vs TH193 by Challenge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Peer % (CORE)</c:v>
          </c:tx>
          <c:spPr>
            <a:solidFill>
              <a:srgbClr val="2196F3"/>
            </a:solidFill>
            <a:ln cmpd="sng">
              <a:solidFill>
                <a:srgbClr val="000000"/>
              </a:solidFill>
            </a:ln>
          </c:spPr>
          <c:cat>
            <c:strRef>
              <c:f>Dashboard!$A$61:$A$65</c:f>
            </c:strRef>
          </c:cat>
          <c:val>
            <c:numRef>
              <c:f>Dashboard!$B$61:$B$65</c:f>
              <c:numCache/>
            </c:numRef>
          </c:val>
        </c:ser>
        <c:ser>
          <c:idx val="1"/>
          <c:order val="1"/>
          <c:tx>
            <c:v>TH193 (100%)</c:v>
          </c:tx>
          <c:spPr>
            <a:solidFill>
              <a:srgbClr val="4CAF50"/>
            </a:solidFill>
            <a:ln cmpd="sng">
              <a:solidFill>
                <a:srgbClr val="000000"/>
              </a:solidFill>
            </a:ln>
          </c:spPr>
          <c:cat>
            <c:strRef>
              <c:f>Dashboard!$A$61:$A$65</c:f>
            </c:strRef>
          </c:cat>
          <c:val>
            <c:numRef>
              <c:f>Dashboard!$C$61:$C$65</c:f>
              <c:numCache/>
            </c:numRef>
          </c:val>
        </c:ser>
        <c:axId val="901053237"/>
        <c:axId val="1593653195"/>
      </c:barChart>
      <c:catAx>
        <c:axId val="901053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Challenge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93653195"/>
      </c:catAx>
      <c:valAx>
        <c:axId val="1593653195"/>
        <c:scaling>
          <c:orientation val="minMax"/>
          <c:max val="10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% Correct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1053237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2024 C1 — Cycle Threshold (CT) Values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CT Value</c:v>
          </c:tx>
          <c:spPr>
            <a:solidFill>
              <a:srgbClr val="1A5276"/>
            </a:solidFill>
            <a:ln cmpd="sng">
              <a:solidFill>
                <a:srgbClr val="000000"/>
              </a:solidFill>
            </a:ln>
          </c:spPr>
          <c:cat>
            <c:strRef>
              <c:f>'2024'!$A$61:$A$66</c:f>
            </c:strRef>
          </c:cat>
          <c:val>
            <c:numRef>
              <c:f>'2024'!$B$61:$B$66</c:f>
              <c:numCache/>
            </c:numRef>
          </c:val>
        </c:ser>
        <c:axId val="1505518771"/>
        <c:axId val="1780513644"/>
      </c:barChart>
      <c:catAx>
        <c:axId val="1505518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Sample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80513644"/>
      </c:catAx>
      <c:valAx>
        <c:axId val="1780513644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CT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5518771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2024 C2 — Cycle Threshold (CT) Values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CT Value</c:v>
          </c:tx>
          <c:spPr>
            <a:solidFill>
              <a:srgbClr val="1A5276"/>
            </a:solidFill>
            <a:ln cmpd="sng">
              <a:solidFill>
                <a:srgbClr val="000000"/>
              </a:solidFill>
            </a:ln>
          </c:spPr>
          <c:cat>
            <c:strRef>
              <c:f>'2024'!$A$76:$A$81</c:f>
            </c:strRef>
          </c:cat>
          <c:val>
            <c:numRef>
              <c:f>'2024'!$B$76:$B$81</c:f>
              <c:numCache/>
            </c:numRef>
          </c:val>
        </c:ser>
        <c:axId val="1460125880"/>
        <c:axId val="207715003"/>
      </c:barChart>
      <c:catAx>
        <c:axId val="1460125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Sample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7715003"/>
      </c:catAx>
      <c:valAx>
        <c:axId val="207715003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CT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60125880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2025 C1 — Cycle Threshold (CT) Values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CT Value</c:v>
          </c:tx>
          <c:spPr>
            <a:solidFill>
              <a:srgbClr val="1A5276"/>
            </a:solidFill>
            <a:ln cmpd="sng">
              <a:solidFill>
                <a:srgbClr val="000000"/>
              </a:solidFill>
            </a:ln>
          </c:spPr>
          <c:cat>
            <c:strRef>
              <c:f>'2025'!$A$61:$A$66</c:f>
            </c:strRef>
          </c:cat>
          <c:val>
            <c:numRef>
              <c:f>'2025'!$B$61:$B$66</c:f>
              <c:numCache/>
            </c:numRef>
          </c:val>
        </c:ser>
        <c:axId val="1983286628"/>
        <c:axId val="1354601203"/>
      </c:barChart>
      <c:catAx>
        <c:axId val="1983286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Sample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54601203"/>
      </c:catAx>
      <c:valAx>
        <c:axId val="1354601203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CT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83286628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2025 C2 — Cycle Threshold (CT) Values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CT Value</c:v>
          </c:tx>
          <c:spPr>
            <a:solidFill>
              <a:srgbClr val="1A5276"/>
            </a:solidFill>
            <a:ln cmpd="sng">
              <a:solidFill>
                <a:srgbClr val="000000"/>
              </a:solidFill>
            </a:ln>
          </c:spPr>
          <c:cat>
            <c:strRef>
              <c:f>'2025'!$A$76:$A$81</c:f>
            </c:strRef>
          </c:cat>
          <c:val>
            <c:numRef>
              <c:f>'2025'!$B$76:$B$81</c:f>
              <c:numCache/>
            </c:numRef>
          </c:val>
        </c:ser>
        <c:axId val="1927176301"/>
        <c:axId val="650453332"/>
      </c:barChart>
      <c:catAx>
        <c:axId val="1927176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Sample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50453332"/>
      </c:catAx>
      <c:valAx>
        <c:axId val="650453332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CT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27176301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2026 C1 — Cycle Threshold (CT) Values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CT Value</c:v>
          </c:tx>
          <c:spPr>
            <a:solidFill>
              <a:srgbClr val="1A5276"/>
            </a:solidFill>
            <a:ln cmpd="sng">
              <a:solidFill>
                <a:srgbClr val="000000"/>
              </a:solidFill>
            </a:ln>
          </c:spPr>
          <c:cat>
            <c:strRef>
              <c:f>'2026'!$A$61:$A$66</c:f>
            </c:strRef>
          </c:cat>
          <c:val>
            <c:numRef>
              <c:f>'2026'!$B$61:$B$66</c:f>
              <c:numCache/>
            </c:numRef>
          </c:val>
        </c:ser>
        <c:axId val="110551207"/>
        <c:axId val="920504804"/>
      </c:barChart>
      <c:catAx>
        <c:axId val="110551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Sample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20504804"/>
      </c:catAx>
      <c:valAx>
        <c:axId val="920504804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CT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0551207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HPV Genotype Distribution — All Challenges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# Samples</c:v>
          </c:tx>
          <c:spPr>
            <a:solidFill>
              <a:srgbClr val="006D77"/>
            </a:solidFill>
            <a:ln cmpd="sng">
              <a:solidFill>
                <a:srgbClr val="000000"/>
              </a:solidFill>
            </a:ln>
          </c:spPr>
          <c:cat>
            <c:strRef>
              <c:f>'Genotype Analysis'!$A$61:$A$65</c:f>
            </c:strRef>
          </c:cat>
          <c:val>
            <c:numRef>
              <c:f>'Genotype Analysis'!$B$61:$B$65</c:f>
              <c:numCache/>
            </c:numRef>
          </c:val>
        </c:ser>
        <c:axId val="1847007140"/>
        <c:axId val="428217181"/>
      </c:barChart>
      <c:catAx>
        <c:axId val="1847007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HPV Genotype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28217181"/>
      </c:catAx>
      <c:valAx>
        <c:axId val="428217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Number of Samples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7007140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7486650" cy="4905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0</xdr:rowOff>
    </xdr:from>
    <xdr:ext cx="6143625" cy="3743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48</xdr:row>
      <xdr:rowOff>0</xdr:rowOff>
    </xdr:from>
    <xdr:ext cx="6143625" cy="37623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0</xdr:rowOff>
    </xdr:from>
    <xdr:ext cx="6143625" cy="37433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48</xdr:row>
      <xdr:rowOff>0</xdr:rowOff>
    </xdr:from>
    <xdr:ext cx="6143625" cy="37623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0</xdr:rowOff>
    </xdr:from>
    <xdr:ext cx="6143625" cy="37623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24</xdr:row>
      <xdr:rowOff>0</xdr:rowOff>
    </xdr:from>
    <xdr:ext cx="6829425" cy="48196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qcmd_hpv_eqa_dashboard_th193.xlsx" TargetMode="External"/><Relationship Id="rId2" Type="http://schemas.openxmlformats.org/officeDocument/2006/relationships/hyperlink" Target="http://qcmd_hpv_eqa_dashboard_th193.xlsx" TargetMode="External"/><Relationship Id="rId3" Type="http://schemas.openxmlformats.org/officeDocument/2006/relationships/hyperlink" Target="http://qcmd_hpv_eqa_dashboard_th193.xlsx" TargetMode="External"/><Relationship Id="rId4" Type="http://schemas.openxmlformats.org/officeDocument/2006/relationships/hyperlink" Target="http://qcmd_hpv_eqa_dashboard_th193.xlsx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qcmd_hpv_eqa_dashboard_th193.xlsx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qcmd_hpv_eqa_dashboard_th193.xls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qcmd_hpv_eqa_dashboard_th193.xlsx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qcmd_hpv_eqa_dashboard_th193.xlsx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13.0"/>
    <col customWidth="1" min="4" max="4" width="14.0"/>
    <col customWidth="1" min="5" max="7" width="13.0"/>
    <col customWidth="1" min="8" max="9" width="14.0"/>
    <col customWidth="1" min="10" max="10" width="16.0"/>
    <col customWidth="1" min="11" max="26" width="8.71"/>
  </cols>
  <sheetData>
    <row r="1" ht="6.0" customHeight="1"/>
    <row r="2" ht="54.0" customHeight="1">
      <c r="B2" s="1" t="s">
        <v>0</v>
      </c>
      <c r="C2" s="2"/>
      <c r="D2" s="2"/>
      <c r="E2" s="2"/>
      <c r="F2" s="2"/>
      <c r="G2" s="2"/>
      <c r="H2" s="2"/>
      <c r="I2" s="2"/>
      <c r="J2" s="3"/>
    </row>
    <row r="3" ht="27.75" customHeight="1">
      <c r="B3" s="4" t="s">
        <v>1</v>
      </c>
      <c r="C3" s="2"/>
      <c r="D3" s="2"/>
      <c r="E3" s="2"/>
      <c r="F3" s="2"/>
      <c r="G3" s="2"/>
      <c r="H3" s="2"/>
      <c r="I3" s="2"/>
      <c r="J3" s="3"/>
    </row>
    <row r="4" ht="7.5" customHeight="1"/>
    <row r="5" ht="15.75" customHeight="1">
      <c r="B5" s="5" t="s">
        <v>2</v>
      </c>
      <c r="C5" s="2"/>
      <c r="D5" s="2"/>
      <c r="E5" s="2"/>
      <c r="F5" s="2"/>
      <c r="G5" s="2"/>
      <c r="H5" s="2"/>
      <c r="I5" s="2"/>
      <c r="J5" s="3"/>
    </row>
    <row r="6" ht="51.75" customHeight="1">
      <c r="B6" s="6" t="s">
        <v>3</v>
      </c>
      <c r="C6" s="3"/>
      <c r="D6" s="7" t="s">
        <v>4</v>
      </c>
      <c r="E6" s="3"/>
      <c r="F6" s="8" t="s">
        <v>5</v>
      </c>
      <c r="G6" s="3"/>
      <c r="H6" s="9" t="s">
        <v>5</v>
      </c>
      <c r="I6" s="2"/>
      <c r="J6" s="3"/>
    </row>
    <row r="7" ht="27.75" customHeight="1">
      <c r="B7" s="10" t="s">
        <v>6</v>
      </c>
      <c r="C7" s="3"/>
      <c r="D7" s="11" t="s">
        <v>7</v>
      </c>
      <c r="E7" s="3"/>
      <c r="F7" s="12" t="s">
        <v>8</v>
      </c>
      <c r="G7" s="3"/>
      <c r="H7" s="13" t="s">
        <v>9</v>
      </c>
      <c r="I7" s="2"/>
      <c r="J7" s="3"/>
    </row>
    <row r="8" ht="7.5" customHeight="1"/>
    <row r="9" ht="48.0" customHeight="1">
      <c r="B9" s="14" t="s">
        <v>10</v>
      </c>
      <c r="C9" s="3"/>
      <c r="D9" s="14" t="s">
        <v>11</v>
      </c>
      <c r="E9" s="3"/>
      <c r="F9" s="14" t="s">
        <v>12</v>
      </c>
      <c r="G9" s="3"/>
      <c r="H9" s="14" t="s">
        <v>13</v>
      </c>
      <c r="I9" s="2"/>
      <c r="J9" s="3"/>
    </row>
    <row r="10" ht="7.5" customHeight="1"/>
    <row r="11" ht="15.75" customHeight="1">
      <c r="B11" s="5" t="s">
        <v>14</v>
      </c>
      <c r="C11" s="2"/>
      <c r="D11" s="2"/>
      <c r="E11" s="2"/>
      <c r="F11" s="2"/>
      <c r="G11" s="2"/>
      <c r="H11" s="2"/>
      <c r="I11" s="2"/>
      <c r="J11" s="3"/>
    </row>
    <row r="12" ht="25.5" customHeight="1">
      <c r="B12" s="15" t="s">
        <v>15</v>
      </c>
      <c r="C12" s="15" t="s">
        <v>16</v>
      </c>
      <c r="D12" s="15" t="s">
        <v>17</v>
      </c>
      <c r="E12" s="15" t="s">
        <v>18</v>
      </c>
      <c r="F12" s="15" t="s">
        <v>19</v>
      </c>
      <c r="G12" s="15" t="s">
        <v>20</v>
      </c>
      <c r="H12" s="15" t="s">
        <v>21</v>
      </c>
      <c r="I12" s="15" t="s">
        <v>22</v>
      </c>
      <c r="J12" s="15" t="s">
        <v>23</v>
      </c>
    </row>
    <row r="13" ht="19.5" customHeight="1">
      <c r="B13" s="16">
        <v>2024.0</v>
      </c>
      <c r="C13" s="17" t="s">
        <v>24</v>
      </c>
      <c r="D13" s="18" t="s">
        <v>25</v>
      </c>
      <c r="E13" s="18">
        <v>191.0</v>
      </c>
      <c r="F13" s="19" t="s">
        <v>26</v>
      </c>
      <c r="G13" s="20" t="s">
        <v>27</v>
      </c>
      <c r="H13" s="21" t="s">
        <v>28</v>
      </c>
      <c r="I13" s="21" t="s">
        <v>28</v>
      </c>
      <c r="J13" s="22" t="s">
        <v>29</v>
      </c>
    </row>
    <row r="14" ht="19.5" customHeight="1">
      <c r="B14" s="23">
        <v>2024.0</v>
      </c>
      <c r="C14" s="24" t="s">
        <v>30</v>
      </c>
      <c r="D14" s="25" t="s">
        <v>31</v>
      </c>
      <c r="E14" s="25">
        <v>196.0</v>
      </c>
      <c r="F14" s="26" t="s">
        <v>26</v>
      </c>
      <c r="G14" s="20" t="s">
        <v>27</v>
      </c>
      <c r="H14" s="21" t="s">
        <v>28</v>
      </c>
      <c r="I14" s="21" t="s">
        <v>28</v>
      </c>
      <c r="J14" s="27" t="s">
        <v>32</v>
      </c>
    </row>
    <row r="15" ht="19.5" customHeight="1">
      <c r="B15" s="16">
        <v>2025.0</v>
      </c>
      <c r="C15" s="17" t="s">
        <v>24</v>
      </c>
      <c r="D15" s="18" t="s">
        <v>33</v>
      </c>
      <c r="E15" s="18">
        <v>256.0</v>
      </c>
      <c r="F15" s="19" t="s">
        <v>26</v>
      </c>
      <c r="G15" s="20" t="s">
        <v>27</v>
      </c>
      <c r="H15" s="21" t="s">
        <v>28</v>
      </c>
      <c r="I15" s="21" t="s">
        <v>28</v>
      </c>
      <c r="J15" s="22" t="s">
        <v>32</v>
      </c>
    </row>
    <row r="16" ht="19.5" customHeight="1">
      <c r="B16" s="23">
        <v>2025.0</v>
      </c>
      <c r="C16" s="24" t="s">
        <v>30</v>
      </c>
      <c r="D16" s="25" t="s">
        <v>34</v>
      </c>
      <c r="E16" s="25">
        <v>253.0</v>
      </c>
      <c r="F16" s="26" t="s">
        <v>26</v>
      </c>
      <c r="G16" s="20" t="s">
        <v>27</v>
      </c>
      <c r="H16" s="21" t="s">
        <v>28</v>
      </c>
      <c r="I16" s="21" t="s">
        <v>28</v>
      </c>
      <c r="J16" s="27" t="s">
        <v>35</v>
      </c>
    </row>
    <row r="17" ht="19.5" customHeight="1">
      <c r="B17" s="16">
        <v>2026.0</v>
      </c>
      <c r="C17" s="17" t="s">
        <v>24</v>
      </c>
      <c r="D17" s="18" t="s">
        <v>36</v>
      </c>
      <c r="E17" s="18">
        <v>225.0</v>
      </c>
      <c r="F17" s="19" t="s">
        <v>26</v>
      </c>
      <c r="G17" s="20" t="s">
        <v>27</v>
      </c>
      <c r="H17" s="21" t="s">
        <v>28</v>
      </c>
      <c r="I17" s="21" t="s">
        <v>28</v>
      </c>
      <c r="J17" s="22" t="s">
        <v>37</v>
      </c>
    </row>
    <row r="18" ht="9.75" customHeight="1"/>
    <row r="19" ht="15.75" customHeight="1">
      <c r="B19" s="5" t="s">
        <v>38</v>
      </c>
      <c r="C19" s="2"/>
      <c r="D19" s="2"/>
      <c r="E19" s="2"/>
      <c r="F19" s="2"/>
      <c r="G19" s="2"/>
      <c r="H19" s="2"/>
      <c r="I19" s="2"/>
      <c r="J19" s="3"/>
    </row>
    <row r="20" ht="25.5" customHeight="1">
      <c r="B20" s="28" t="s">
        <v>39</v>
      </c>
      <c r="C20" s="3"/>
      <c r="D20" s="29" t="s">
        <v>40</v>
      </c>
      <c r="E20" s="3"/>
      <c r="F20" s="30" t="s">
        <v>41</v>
      </c>
      <c r="G20" s="3"/>
      <c r="H20" s="31" t="s">
        <v>42</v>
      </c>
      <c r="I20" s="2"/>
      <c r="J20" s="3"/>
    </row>
    <row r="21" ht="7.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32" t="s">
        <v>16</v>
      </c>
      <c r="B60" s="32" t="s">
        <v>43</v>
      </c>
      <c r="C60" s="32" t="s">
        <v>44</v>
      </c>
    </row>
    <row r="61" ht="15.75" customHeight="1">
      <c r="A61" s="32" t="s">
        <v>45</v>
      </c>
      <c r="B61" s="32">
        <v>99.1</v>
      </c>
      <c r="C61" s="32">
        <v>100.0</v>
      </c>
    </row>
    <row r="62" ht="15.75" customHeight="1">
      <c r="A62" s="32" t="s">
        <v>46</v>
      </c>
      <c r="B62" s="32">
        <v>98.5</v>
      </c>
      <c r="C62" s="32">
        <v>100.0</v>
      </c>
    </row>
    <row r="63" ht="15.75" customHeight="1">
      <c r="A63" s="32" t="s">
        <v>47</v>
      </c>
      <c r="B63" s="32">
        <v>98.5</v>
      </c>
      <c r="C63" s="32">
        <v>100.0</v>
      </c>
    </row>
    <row r="64" ht="15.75" customHeight="1">
      <c r="A64" s="32" t="s">
        <v>48</v>
      </c>
      <c r="B64" s="32">
        <v>98.7</v>
      </c>
      <c r="C64" s="32">
        <v>100.0</v>
      </c>
    </row>
    <row r="65" ht="15.75" customHeight="1">
      <c r="A65" s="32" t="s">
        <v>49</v>
      </c>
      <c r="B65" s="32">
        <v>98.2</v>
      </c>
      <c r="C65" s="32">
        <v>100.0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:J2"/>
    <mergeCell ref="B3:J3"/>
    <mergeCell ref="B5:J5"/>
    <mergeCell ref="B6:C6"/>
    <mergeCell ref="D6:E6"/>
    <mergeCell ref="F6:G6"/>
    <mergeCell ref="H6:J6"/>
    <mergeCell ref="H9:J9"/>
    <mergeCell ref="B11:J11"/>
    <mergeCell ref="B19:J19"/>
    <mergeCell ref="B20:C20"/>
    <mergeCell ref="D20:E20"/>
    <mergeCell ref="F20:G20"/>
    <mergeCell ref="H20:J20"/>
    <mergeCell ref="B7:C7"/>
    <mergeCell ref="D7:E7"/>
    <mergeCell ref="F7:G7"/>
    <mergeCell ref="H7:J7"/>
    <mergeCell ref="B9:C9"/>
    <mergeCell ref="D9:E9"/>
    <mergeCell ref="F9:G9"/>
  </mergeCells>
  <hyperlinks>
    <hyperlink r:id="rId1" location="'2024'!A1" ref="B20"/>
    <hyperlink r:id="rId2" location="'2025'!A1" ref="D20"/>
    <hyperlink r:id="rId3" location="'2026'!A1" ref="F20"/>
    <hyperlink r:id="rId4" location="'Genotype%20Analysis'!A1" ref="H20"/>
  </hyperlinks>
  <printOptions/>
  <pageMargins bottom="1.0" footer="0.0" header="0.0" left="0.75" right="0.75" top="1.0"/>
  <pageSetup paperSize="9"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.0"/>
    <col customWidth="1" min="2" max="2" width="14.0"/>
    <col customWidth="1" min="3" max="3" width="12.0"/>
    <col customWidth="1" min="4" max="4" width="24.0"/>
    <col customWidth="1" min="5" max="7" width="12.0"/>
    <col customWidth="1" min="8" max="9" width="13.0"/>
    <col customWidth="1" min="10" max="10" width="16.0"/>
    <col customWidth="1" min="11" max="26" width="8.71"/>
  </cols>
  <sheetData>
    <row r="1" ht="6.0" customHeight="1"/>
    <row r="2" ht="45.75" customHeight="1">
      <c r="B2" s="33" t="s">
        <v>50</v>
      </c>
      <c r="C2" s="2"/>
      <c r="D2" s="2"/>
      <c r="E2" s="2"/>
      <c r="F2" s="2"/>
      <c r="G2" s="2"/>
      <c r="H2" s="2"/>
      <c r="I2" s="2"/>
      <c r="J2" s="3"/>
    </row>
    <row r="3" ht="25.5" customHeight="1">
      <c r="B3" s="4" t="s">
        <v>51</v>
      </c>
      <c r="C3" s="2"/>
      <c r="D3" s="2"/>
      <c r="E3" s="2"/>
      <c r="F3" s="2"/>
      <c r="G3" s="2"/>
      <c r="H3" s="2"/>
      <c r="I3" s="2"/>
      <c r="J3" s="3"/>
    </row>
    <row r="4" ht="7.5" customHeight="1"/>
    <row r="5" ht="19.5" customHeight="1">
      <c r="B5" s="34" t="s">
        <v>52</v>
      </c>
      <c r="C5" s="3"/>
    </row>
    <row r="7" ht="9.75" customHeight="1">
      <c r="B7" s="35"/>
      <c r="C7" s="2"/>
      <c r="D7" s="2"/>
      <c r="E7" s="2"/>
      <c r="F7" s="2"/>
      <c r="G7" s="2"/>
      <c r="H7" s="2"/>
      <c r="I7" s="2"/>
      <c r="J7" s="3"/>
    </row>
    <row r="8" ht="27.75" customHeight="1">
      <c r="B8" s="36" t="s">
        <v>53</v>
      </c>
      <c r="C8" s="2"/>
      <c r="D8" s="2"/>
      <c r="E8" s="2"/>
      <c r="F8" s="2"/>
      <c r="G8" s="2"/>
      <c r="H8" s="2"/>
      <c r="I8" s="2"/>
      <c r="J8" s="3"/>
    </row>
    <row r="9" ht="21.75" customHeight="1">
      <c r="B9" s="37" t="s">
        <v>54</v>
      </c>
      <c r="C9" s="38"/>
      <c r="D9" s="37" t="s">
        <v>55</v>
      </c>
      <c r="E9" s="38"/>
      <c r="F9" s="37" t="s">
        <v>56</v>
      </c>
      <c r="G9" s="38"/>
      <c r="H9" s="37" t="s">
        <v>57</v>
      </c>
      <c r="I9" s="38"/>
    </row>
    <row r="10" ht="21.75" customHeight="1">
      <c r="B10" s="39" t="s">
        <v>58</v>
      </c>
      <c r="C10" s="38"/>
      <c r="D10" s="39" t="s">
        <v>59</v>
      </c>
      <c r="E10" s="38"/>
      <c r="F10" s="40" t="s">
        <v>60</v>
      </c>
      <c r="G10" s="38"/>
      <c r="H10" s="41" t="s">
        <v>61</v>
      </c>
      <c r="I10" s="42"/>
      <c r="J10" s="38"/>
    </row>
    <row r="11" ht="7.5" customHeight="1"/>
    <row r="12" ht="24.0" customHeight="1">
      <c r="B12" s="43" t="s">
        <v>62</v>
      </c>
      <c r="C12" s="43" t="s">
        <v>63</v>
      </c>
      <c r="D12" s="43" t="s">
        <v>64</v>
      </c>
      <c r="E12" s="43" t="s">
        <v>65</v>
      </c>
      <c r="F12" s="43" t="s">
        <v>66</v>
      </c>
      <c r="G12" s="43" t="s">
        <v>67</v>
      </c>
      <c r="H12" s="43" t="s">
        <v>68</v>
      </c>
      <c r="I12" s="43" t="s">
        <v>69</v>
      </c>
      <c r="J12" s="43" t="s">
        <v>70</v>
      </c>
    </row>
    <row r="13" ht="19.5" customHeight="1">
      <c r="B13" s="18" t="s">
        <v>71</v>
      </c>
      <c r="C13" s="18" t="s">
        <v>72</v>
      </c>
      <c r="D13" s="16" t="s">
        <v>73</v>
      </c>
      <c r="E13" s="44" t="s">
        <v>74</v>
      </c>
      <c r="F13" s="18" t="s">
        <v>75</v>
      </c>
      <c r="G13" s="20" t="s">
        <v>75</v>
      </c>
      <c r="H13" s="45" t="s">
        <v>26</v>
      </c>
      <c r="I13" s="18" t="s">
        <v>76</v>
      </c>
      <c r="J13" s="22" t="s">
        <v>77</v>
      </c>
    </row>
    <row r="14" ht="19.5" customHeight="1">
      <c r="B14" s="25" t="s">
        <v>78</v>
      </c>
      <c r="C14" s="25" t="s">
        <v>79</v>
      </c>
      <c r="D14" s="23" t="s">
        <v>80</v>
      </c>
      <c r="E14" s="44" t="s">
        <v>74</v>
      </c>
      <c r="F14" s="25" t="s">
        <v>75</v>
      </c>
      <c r="G14" s="20" t="s">
        <v>75</v>
      </c>
      <c r="H14" s="45" t="s">
        <v>26</v>
      </c>
      <c r="I14" s="25" t="s">
        <v>81</v>
      </c>
      <c r="J14" s="27" t="s">
        <v>82</v>
      </c>
    </row>
    <row r="15" ht="19.5" customHeight="1">
      <c r="B15" s="18" t="s">
        <v>83</v>
      </c>
      <c r="C15" s="18" t="s">
        <v>72</v>
      </c>
      <c r="D15" s="16" t="s">
        <v>73</v>
      </c>
      <c r="E15" s="44" t="s">
        <v>74</v>
      </c>
      <c r="F15" s="18" t="s">
        <v>75</v>
      </c>
      <c r="G15" s="20" t="s">
        <v>75</v>
      </c>
      <c r="H15" s="45" t="s">
        <v>26</v>
      </c>
      <c r="I15" s="18" t="s">
        <v>84</v>
      </c>
      <c r="J15" s="22" t="s">
        <v>77</v>
      </c>
    </row>
    <row r="16" ht="19.5" customHeight="1">
      <c r="B16" s="25" t="s">
        <v>85</v>
      </c>
      <c r="C16" s="25" t="s">
        <v>72</v>
      </c>
      <c r="D16" s="23" t="s">
        <v>73</v>
      </c>
      <c r="E16" s="44" t="s">
        <v>74</v>
      </c>
      <c r="F16" s="25" t="s">
        <v>75</v>
      </c>
      <c r="G16" s="20" t="s">
        <v>75</v>
      </c>
      <c r="H16" s="45" t="s">
        <v>26</v>
      </c>
      <c r="I16" s="25" t="s">
        <v>86</v>
      </c>
      <c r="J16" s="27" t="s">
        <v>77</v>
      </c>
    </row>
    <row r="17" ht="19.5" customHeight="1">
      <c r="B17" s="18" t="s">
        <v>87</v>
      </c>
      <c r="C17" s="18" t="s">
        <v>79</v>
      </c>
      <c r="D17" s="16" t="s">
        <v>80</v>
      </c>
      <c r="E17" s="46" t="s">
        <v>88</v>
      </c>
      <c r="F17" s="18" t="s">
        <v>75</v>
      </c>
      <c r="G17" s="20" t="s">
        <v>75</v>
      </c>
      <c r="H17" s="45" t="s">
        <v>26</v>
      </c>
      <c r="I17" s="18" t="s">
        <v>89</v>
      </c>
      <c r="J17" s="47" t="s">
        <v>90</v>
      </c>
    </row>
    <row r="18" ht="19.5" customHeight="1">
      <c r="B18" s="25" t="s">
        <v>91</v>
      </c>
      <c r="C18" s="25" t="s">
        <v>92</v>
      </c>
      <c r="D18" s="23" t="s">
        <v>92</v>
      </c>
      <c r="E18" s="44" t="s">
        <v>74</v>
      </c>
      <c r="F18" s="25" t="s">
        <v>92</v>
      </c>
      <c r="G18" s="20" t="s">
        <v>92</v>
      </c>
      <c r="H18" s="45" t="s">
        <v>26</v>
      </c>
      <c r="I18" s="25" t="s">
        <v>93</v>
      </c>
      <c r="J18" s="27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9.75" customHeight="1">
      <c r="B36" s="35"/>
      <c r="C36" s="2"/>
      <c r="D36" s="2"/>
      <c r="E36" s="2"/>
      <c r="F36" s="2"/>
      <c r="G36" s="2"/>
      <c r="H36" s="2"/>
      <c r="I36" s="2"/>
      <c r="J36" s="3"/>
    </row>
    <row r="37" ht="27.75" customHeight="1">
      <c r="B37" s="48" t="s">
        <v>94</v>
      </c>
      <c r="C37" s="2"/>
      <c r="D37" s="2"/>
      <c r="E37" s="2"/>
      <c r="F37" s="2"/>
      <c r="G37" s="2"/>
      <c r="H37" s="2"/>
      <c r="I37" s="2"/>
      <c r="J37" s="3"/>
    </row>
    <row r="38" ht="21.75" customHeight="1">
      <c r="B38" s="37" t="s">
        <v>95</v>
      </c>
      <c r="C38" s="38"/>
      <c r="D38" s="37" t="s">
        <v>96</v>
      </c>
      <c r="E38" s="38"/>
      <c r="F38" s="37" t="s">
        <v>56</v>
      </c>
      <c r="G38" s="38"/>
      <c r="H38" s="37" t="s">
        <v>57</v>
      </c>
      <c r="I38" s="38"/>
    </row>
    <row r="39" ht="21.75" customHeight="1">
      <c r="B39" s="39" t="s">
        <v>58</v>
      </c>
      <c r="C39" s="38"/>
      <c r="D39" s="39" t="s">
        <v>59</v>
      </c>
      <c r="E39" s="38"/>
      <c r="F39" s="40" t="s">
        <v>60</v>
      </c>
      <c r="G39" s="38"/>
      <c r="H39" s="41" t="s">
        <v>97</v>
      </c>
      <c r="I39" s="42"/>
      <c r="J39" s="38"/>
    </row>
    <row r="40" ht="7.5" customHeight="1"/>
    <row r="41" ht="24.0" customHeight="1">
      <c r="B41" s="49" t="s">
        <v>62</v>
      </c>
      <c r="C41" s="49" t="s">
        <v>63</v>
      </c>
      <c r="D41" s="49" t="s">
        <v>64</v>
      </c>
      <c r="E41" s="49" t="s">
        <v>65</v>
      </c>
      <c r="F41" s="49" t="s">
        <v>66</v>
      </c>
      <c r="G41" s="49" t="s">
        <v>67</v>
      </c>
      <c r="H41" s="49" t="s">
        <v>68</v>
      </c>
      <c r="I41" s="49" t="s">
        <v>69</v>
      </c>
      <c r="J41" s="49" t="s">
        <v>70</v>
      </c>
    </row>
    <row r="42" ht="19.5" customHeight="1">
      <c r="B42" s="18" t="s">
        <v>98</v>
      </c>
      <c r="C42" s="18" t="s">
        <v>79</v>
      </c>
      <c r="D42" s="16" t="s">
        <v>80</v>
      </c>
      <c r="E42" s="44" t="s">
        <v>74</v>
      </c>
      <c r="F42" s="18" t="s">
        <v>75</v>
      </c>
      <c r="G42" s="20" t="s">
        <v>75</v>
      </c>
      <c r="H42" s="45" t="s">
        <v>26</v>
      </c>
      <c r="I42" s="18" t="s">
        <v>99</v>
      </c>
      <c r="J42" s="22" t="s">
        <v>32</v>
      </c>
    </row>
    <row r="43" ht="19.5" customHeight="1">
      <c r="B43" s="25" t="s">
        <v>100</v>
      </c>
      <c r="C43" s="25" t="s">
        <v>101</v>
      </c>
      <c r="D43" s="23" t="s">
        <v>102</v>
      </c>
      <c r="E43" s="44" t="s">
        <v>74</v>
      </c>
      <c r="F43" s="25" t="s">
        <v>75</v>
      </c>
      <c r="G43" s="20" t="s">
        <v>75</v>
      </c>
      <c r="H43" s="45" t="s">
        <v>26</v>
      </c>
      <c r="I43" s="25" t="s">
        <v>103</v>
      </c>
      <c r="J43" s="27" t="s">
        <v>77</v>
      </c>
    </row>
    <row r="44" ht="19.5" customHeight="1">
      <c r="B44" s="18" t="s">
        <v>104</v>
      </c>
      <c r="C44" s="18" t="s">
        <v>92</v>
      </c>
      <c r="D44" s="16" t="s">
        <v>92</v>
      </c>
      <c r="E44" s="44" t="s">
        <v>74</v>
      </c>
      <c r="F44" s="18" t="s">
        <v>92</v>
      </c>
      <c r="G44" s="20" t="s">
        <v>92</v>
      </c>
      <c r="H44" s="45" t="s">
        <v>26</v>
      </c>
      <c r="I44" s="18" t="s">
        <v>93</v>
      </c>
      <c r="J44" s="22" t="s">
        <v>105</v>
      </c>
    </row>
    <row r="45" ht="19.5" customHeight="1">
      <c r="B45" s="25" t="s">
        <v>106</v>
      </c>
      <c r="C45" s="25" t="s">
        <v>101</v>
      </c>
      <c r="D45" s="23" t="s">
        <v>102</v>
      </c>
      <c r="E45" s="44" t="s">
        <v>74</v>
      </c>
      <c r="F45" s="25" t="s">
        <v>75</v>
      </c>
      <c r="G45" s="20" t="s">
        <v>75</v>
      </c>
      <c r="H45" s="45" t="s">
        <v>26</v>
      </c>
      <c r="I45" s="25" t="s">
        <v>107</v>
      </c>
      <c r="J45" s="27" t="s">
        <v>32</v>
      </c>
    </row>
    <row r="46" ht="19.5" customHeight="1">
      <c r="B46" s="18" t="s">
        <v>108</v>
      </c>
      <c r="C46" s="18" t="s">
        <v>72</v>
      </c>
      <c r="D46" s="16" t="s">
        <v>73</v>
      </c>
      <c r="E46" s="44" t="s">
        <v>74</v>
      </c>
      <c r="F46" s="18" t="s">
        <v>75</v>
      </c>
      <c r="G46" s="20" t="s">
        <v>75</v>
      </c>
      <c r="H46" s="45" t="s">
        <v>26</v>
      </c>
      <c r="I46" s="18" t="s">
        <v>109</v>
      </c>
      <c r="J46" s="22" t="s">
        <v>105</v>
      </c>
    </row>
    <row r="47" ht="19.5" customHeight="1">
      <c r="B47" s="25" t="s">
        <v>110</v>
      </c>
      <c r="C47" s="25" t="s">
        <v>111</v>
      </c>
      <c r="D47" s="23" t="s">
        <v>112</v>
      </c>
      <c r="E47" s="44" t="s">
        <v>74</v>
      </c>
      <c r="F47" s="25" t="s">
        <v>75</v>
      </c>
      <c r="G47" s="20" t="s">
        <v>75</v>
      </c>
      <c r="H47" s="45" t="s">
        <v>26</v>
      </c>
      <c r="I47" s="25" t="s">
        <v>113</v>
      </c>
      <c r="J47" s="27" t="s">
        <v>77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32" t="s">
        <v>62</v>
      </c>
      <c r="B60" s="32" t="s">
        <v>69</v>
      </c>
      <c r="C60" s="32" t="s">
        <v>114</v>
      </c>
    </row>
    <row r="61" ht="15.75" customHeight="1">
      <c r="A61" s="32" t="s">
        <v>115</v>
      </c>
      <c r="B61" s="32">
        <v>29.7</v>
      </c>
      <c r="C61" s="32">
        <v>99.0</v>
      </c>
    </row>
    <row r="62" ht="15.75" customHeight="1">
      <c r="A62" s="32" t="s">
        <v>116</v>
      </c>
      <c r="B62" s="32">
        <v>26.44</v>
      </c>
      <c r="C62" s="32">
        <v>99.5</v>
      </c>
    </row>
    <row r="63" ht="15.75" customHeight="1">
      <c r="A63" s="32" t="s">
        <v>117</v>
      </c>
      <c r="B63" s="32">
        <v>26.53</v>
      </c>
      <c r="C63" s="32">
        <v>99.0</v>
      </c>
    </row>
    <row r="64" ht="15.75" customHeight="1">
      <c r="A64" s="32" t="s">
        <v>118</v>
      </c>
      <c r="B64" s="32">
        <v>23.51</v>
      </c>
      <c r="C64" s="32">
        <v>99.0</v>
      </c>
    </row>
    <row r="65" ht="15.75" customHeight="1">
      <c r="A65" s="32" t="s">
        <v>119</v>
      </c>
      <c r="B65" s="32">
        <v>31.05</v>
      </c>
      <c r="C65" s="32">
        <v>84.8</v>
      </c>
    </row>
    <row r="66" ht="15.75" customHeight="1">
      <c r="A66" s="32" t="s">
        <v>120</v>
      </c>
      <c r="C66" s="32">
        <v>99.0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32" t="s">
        <v>62</v>
      </c>
      <c r="B75" s="32" t="s">
        <v>69</v>
      </c>
      <c r="C75" s="32" t="s">
        <v>114</v>
      </c>
    </row>
    <row r="76" ht="15.75" customHeight="1">
      <c r="A76" s="32" t="s">
        <v>115</v>
      </c>
      <c r="B76" s="32">
        <v>25.49</v>
      </c>
      <c r="C76" s="32">
        <v>98.5</v>
      </c>
    </row>
    <row r="77" ht="15.75" customHeight="1">
      <c r="A77" s="32" t="s">
        <v>116</v>
      </c>
      <c r="B77" s="32">
        <v>26.63</v>
      </c>
      <c r="C77" s="32">
        <v>99.0</v>
      </c>
    </row>
    <row r="78" ht="15.75" customHeight="1">
      <c r="A78" s="32" t="s">
        <v>117</v>
      </c>
      <c r="C78" s="32">
        <v>98.0</v>
      </c>
    </row>
    <row r="79" ht="15.75" customHeight="1">
      <c r="A79" s="32" t="s">
        <v>118</v>
      </c>
      <c r="B79" s="32">
        <v>26.54</v>
      </c>
      <c r="C79" s="32">
        <v>98.5</v>
      </c>
    </row>
    <row r="80" ht="15.75" customHeight="1">
      <c r="A80" s="32" t="s">
        <v>119</v>
      </c>
      <c r="B80" s="32">
        <v>26.75</v>
      </c>
      <c r="C80" s="32">
        <v>98.0</v>
      </c>
    </row>
    <row r="81" ht="15.75" customHeight="1">
      <c r="A81" s="32" t="s">
        <v>120</v>
      </c>
      <c r="B81" s="32">
        <v>27.16</v>
      </c>
      <c r="C81" s="32">
        <v>99.0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F9:G9"/>
    <mergeCell ref="H9:I9"/>
    <mergeCell ref="B2:J2"/>
    <mergeCell ref="B3:J3"/>
    <mergeCell ref="B5:C5"/>
    <mergeCell ref="B7:J7"/>
    <mergeCell ref="B8:J8"/>
    <mergeCell ref="B9:C9"/>
    <mergeCell ref="D9:E9"/>
    <mergeCell ref="D38:E38"/>
    <mergeCell ref="F38:G38"/>
    <mergeCell ref="B39:C39"/>
    <mergeCell ref="D39:E39"/>
    <mergeCell ref="F39:G39"/>
    <mergeCell ref="H39:J39"/>
    <mergeCell ref="B10:C10"/>
    <mergeCell ref="D10:E10"/>
    <mergeCell ref="F10:G10"/>
    <mergeCell ref="H10:J10"/>
    <mergeCell ref="B36:J36"/>
    <mergeCell ref="B37:J37"/>
    <mergeCell ref="B38:C38"/>
    <mergeCell ref="H38:I38"/>
  </mergeCells>
  <hyperlinks>
    <hyperlink r:id="rId1" location="Dashboard!A1" ref="B5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.0"/>
    <col customWidth="1" min="2" max="2" width="14.0"/>
    <col customWidth="1" min="3" max="3" width="12.0"/>
    <col customWidth="1" min="4" max="4" width="24.0"/>
    <col customWidth="1" min="5" max="7" width="12.0"/>
    <col customWidth="1" min="8" max="9" width="13.0"/>
    <col customWidth="1" min="10" max="10" width="16.0"/>
    <col customWidth="1" min="11" max="26" width="8.71"/>
  </cols>
  <sheetData>
    <row r="1" ht="6.0" customHeight="1"/>
    <row r="2" ht="45.75" customHeight="1">
      <c r="B2" s="33" t="s">
        <v>121</v>
      </c>
      <c r="C2" s="2"/>
      <c r="D2" s="2"/>
      <c r="E2" s="2"/>
      <c r="F2" s="2"/>
      <c r="G2" s="2"/>
      <c r="H2" s="2"/>
      <c r="I2" s="2"/>
      <c r="J2" s="3"/>
    </row>
    <row r="3" ht="25.5" customHeight="1">
      <c r="B3" s="4" t="s">
        <v>51</v>
      </c>
      <c r="C3" s="2"/>
      <c r="D3" s="2"/>
      <c r="E3" s="2"/>
      <c r="F3" s="2"/>
      <c r="G3" s="2"/>
      <c r="H3" s="2"/>
      <c r="I3" s="2"/>
      <c r="J3" s="3"/>
    </row>
    <row r="4" ht="7.5" customHeight="1"/>
    <row r="5" ht="19.5" customHeight="1">
      <c r="B5" s="34" t="s">
        <v>52</v>
      </c>
      <c r="C5" s="3"/>
    </row>
    <row r="7" ht="9.75" customHeight="1">
      <c r="B7" s="35"/>
      <c r="C7" s="2"/>
      <c r="D7" s="2"/>
      <c r="E7" s="2"/>
      <c r="F7" s="2"/>
      <c r="G7" s="2"/>
      <c r="H7" s="2"/>
      <c r="I7" s="2"/>
      <c r="J7" s="3"/>
    </row>
    <row r="8" ht="27.75" customHeight="1">
      <c r="B8" s="36" t="s">
        <v>122</v>
      </c>
      <c r="C8" s="2"/>
      <c r="D8" s="2"/>
      <c r="E8" s="2"/>
      <c r="F8" s="2"/>
      <c r="G8" s="2"/>
      <c r="H8" s="2"/>
      <c r="I8" s="2"/>
      <c r="J8" s="3"/>
    </row>
    <row r="9" ht="21.75" customHeight="1">
      <c r="B9" s="37" t="s">
        <v>123</v>
      </c>
      <c r="C9" s="38"/>
      <c r="D9" s="37" t="s">
        <v>124</v>
      </c>
      <c r="E9" s="38"/>
      <c r="F9" s="37" t="s">
        <v>125</v>
      </c>
      <c r="G9" s="38"/>
      <c r="H9" s="37" t="s">
        <v>57</v>
      </c>
      <c r="I9" s="38"/>
    </row>
    <row r="10" ht="21.75" customHeight="1">
      <c r="B10" s="39" t="s">
        <v>58</v>
      </c>
      <c r="C10" s="38"/>
      <c r="D10" s="39" t="s">
        <v>59</v>
      </c>
      <c r="E10" s="38"/>
      <c r="F10" s="40" t="s">
        <v>60</v>
      </c>
      <c r="G10" s="38"/>
      <c r="H10" s="41" t="s">
        <v>97</v>
      </c>
      <c r="I10" s="42"/>
      <c r="J10" s="38"/>
    </row>
    <row r="11" ht="7.5" customHeight="1"/>
    <row r="12" ht="24.0" customHeight="1">
      <c r="B12" s="43" t="s">
        <v>62</v>
      </c>
      <c r="C12" s="43" t="s">
        <v>63</v>
      </c>
      <c r="D12" s="43" t="s">
        <v>64</v>
      </c>
      <c r="E12" s="43" t="s">
        <v>65</v>
      </c>
      <c r="F12" s="43" t="s">
        <v>66</v>
      </c>
      <c r="G12" s="43" t="s">
        <v>67</v>
      </c>
      <c r="H12" s="43" t="s">
        <v>68</v>
      </c>
      <c r="I12" s="43" t="s">
        <v>69</v>
      </c>
      <c r="J12" s="43" t="s">
        <v>70</v>
      </c>
    </row>
    <row r="13" ht="19.5" customHeight="1">
      <c r="B13" s="18" t="s">
        <v>126</v>
      </c>
      <c r="C13" s="18" t="s">
        <v>79</v>
      </c>
      <c r="D13" s="16" t="s">
        <v>80</v>
      </c>
      <c r="E13" s="44" t="s">
        <v>74</v>
      </c>
      <c r="F13" s="18" t="s">
        <v>75</v>
      </c>
      <c r="G13" s="20" t="s">
        <v>75</v>
      </c>
      <c r="H13" s="45" t="s">
        <v>26</v>
      </c>
      <c r="I13" s="18" t="s">
        <v>127</v>
      </c>
      <c r="J13" s="22" t="s">
        <v>28</v>
      </c>
    </row>
    <row r="14" ht="19.5" customHeight="1">
      <c r="B14" s="25" t="s">
        <v>128</v>
      </c>
      <c r="C14" s="25" t="s">
        <v>72</v>
      </c>
      <c r="D14" s="23" t="s">
        <v>73</v>
      </c>
      <c r="E14" s="44" t="s">
        <v>74</v>
      </c>
      <c r="F14" s="25" t="s">
        <v>75</v>
      </c>
      <c r="G14" s="20" t="s">
        <v>75</v>
      </c>
      <c r="H14" s="45" t="s">
        <v>26</v>
      </c>
      <c r="I14" s="25" t="s">
        <v>129</v>
      </c>
      <c r="J14" s="27" t="s">
        <v>130</v>
      </c>
    </row>
    <row r="15" ht="19.5" customHeight="1">
      <c r="B15" s="18" t="s">
        <v>131</v>
      </c>
      <c r="C15" s="18" t="s">
        <v>72</v>
      </c>
      <c r="D15" s="16" t="s">
        <v>73</v>
      </c>
      <c r="E15" s="44" t="s">
        <v>74</v>
      </c>
      <c r="F15" s="18" t="s">
        <v>75</v>
      </c>
      <c r="G15" s="20" t="s">
        <v>75</v>
      </c>
      <c r="H15" s="45" t="s">
        <v>26</v>
      </c>
      <c r="I15" s="18" t="s">
        <v>132</v>
      </c>
      <c r="J15" s="22" t="s">
        <v>133</v>
      </c>
    </row>
    <row r="16" ht="19.5" customHeight="1">
      <c r="B16" s="25" t="s">
        <v>134</v>
      </c>
      <c r="C16" s="25" t="s">
        <v>79</v>
      </c>
      <c r="D16" s="23" t="s">
        <v>80</v>
      </c>
      <c r="E16" s="44" t="s">
        <v>74</v>
      </c>
      <c r="F16" s="25" t="s">
        <v>75</v>
      </c>
      <c r="G16" s="20" t="s">
        <v>75</v>
      </c>
      <c r="H16" s="45" t="s">
        <v>26</v>
      </c>
      <c r="I16" s="25" t="s">
        <v>135</v>
      </c>
      <c r="J16" s="27" t="s">
        <v>133</v>
      </c>
    </row>
    <row r="17" ht="19.5" customHeight="1">
      <c r="B17" s="18" t="s">
        <v>136</v>
      </c>
      <c r="C17" s="18" t="s">
        <v>92</v>
      </c>
      <c r="D17" s="16" t="s">
        <v>92</v>
      </c>
      <c r="E17" s="44" t="s">
        <v>74</v>
      </c>
      <c r="F17" s="18" t="s">
        <v>92</v>
      </c>
      <c r="G17" s="20" t="s">
        <v>92</v>
      </c>
      <c r="H17" s="45" t="s">
        <v>26</v>
      </c>
      <c r="I17" s="18" t="s">
        <v>93</v>
      </c>
      <c r="J17" s="22" t="s">
        <v>105</v>
      </c>
    </row>
    <row r="18" ht="19.5" customHeight="1">
      <c r="B18" s="25" t="s">
        <v>137</v>
      </c>
      <c r="C18" s="25" t="s">
        <v>138</v>
      </c>
      <c r="D18" s="23" t="s">
        <v>73</v>
      </c>
      <c r="E18" s="44" t="s">
        <v>74</v>
      </c>
      <c r="F18" s="25" t="s">
        <v>75</v>
      </c>
      <c r="G18" s="20" t="s">
        <v>75</v>
      </c>
      <c r="H18" s="45" t="s">
        <v>26</v>
      </c>
      <c r="I18" s="25" t="s">
        <v>139</v>
      </c>
      <c r="J18" s="47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9.75" customHeight="1">
      <c r="B36" s="35"/>
      <c r="C36" s="2"/>
      <c r="D36" s="2"/>
      <c r="E36" s="2"/>
      <c r="F36" s="2"/>
      <c r="G36" s="2"/>
      <c r="H36" s="2"/>
      <c r="I36" s="2"/>
      <c r="J36" s="3"/>
    </row>
    <row r="37" ht="27.75" customHeight="1">
      <c r="B37" s="48" t="s">
        <v>141</v>
      </c>
      <c r="C37" s="2"/>
      <c r="D37" s="2"/>
      <c r="E37" s="2"/>
      <c r="F37" s="2"/>
      <c r="G37" s="2"/>
      <c r="H37" s="2"/>
      <c r="I37" s="2"/>
      <c r="J37" s="3"/>
    </row>
    <row r="38" ht="21.75" customHeight="1">
      <c r="B38" s="37" t="s">
        <v>142</v>
      </c>
      <c r="C38" s="38"/>
      <c r="D38" s="37" t="s">
        <v>124</v>
      </c>
      <c r="E38" s="38"/>
      <c r="F38" s="37" t="s">
        <v>125</v>
      </c>
      <c r="G38" s="38"/>
      <c r="H38" s="37" t="s">
        <v>57</v>
      </c>
      <c r="I38" s="38"/>
    </row>
    <row r="39" ht="21.75" customHeight="1">
      <c r="B39" s="39" t="s">
        <v>58</v>
      </c>
      <c r="C39" s="38"/>
      <c r="D39" s="39" t="s">
        <v>59</v>
      </c>
      <c r="E39" s="38"/>
      <c r="F39" s="40" t="s">
        <v>60</v>
      </c>
      <c r="G39" s="38"/>
      <c r="H39" s="41" t="s">
        <v>143</v>
      </c>
      <c r="I39" s="42"/>
      <c r="J39" s="38"/>
    </row>
    <row r="40" ht="7.5" customHeight="1"/>
    <row r="41" ht="24.0" customHeight="1">
      <c r="B41" s="49" t="s">
        <v>62</v>
      </c>
      <c r="C41" s="49" t="s">
        <v>63</v>
      </c>
      <c r="D41" s="49" t="s">
        <v>64</v>
      </c>
      <c r="E41" s="49" t="s">
        <v>65</v>
      </c>
      <c r="F41" s="49" t="s">
        <v>66</v>
      </c>
      <c r="G41" s="49" t="s">
        <v>67</v>
      </c>
      <c r="H41" s="49" t="s">
        <v>68</v>
      </c>
      <c r="I41" s="49" t="s">
        <v>69</v>
      </c>
      <c r="J41" s="49" t="s">
        <v>70</v>
      </c>
    </row>
    <row r="42" ht="19.5" customHeight="1">
      <c r="B42" s="18" t="s">
        <v>144</v>
      </c>
      <c r="C42" s="18" t="s">
        <v>79</v>
      </c>
      <c r="D42" s="16" t="s">
        <v>80</v>
      </c>
      <c r="E42" s="44" t="s">
        <v>74</v>
      </c>
      <c r="F42" s="18" t="s">
        <v>75</v>
      </c>
      <c r="G42" s="20" t="s">
        <v>75</v>
      </c>
      <c r="H42" s="45" t="s">
        <v>26</v>
      </c>
      <c r="I42" s="18" t="s">
        <v>145</v>
      </c>
      <c r="J42" s="22" t="s">
        <v>146</v>
      </c>
    </row>
    <row r="43" ht="19.5" customHeight="1">
      <c r="B43" s="25" t="s">
        <v>147</v>
      </c>
      <c r="C43" s="25" t="s">
        <v>101</v>
      </c>
      <c r="D43" s="23" t="s">
        <v>102</v>
      </c>
      <c r="E43" s="44" t="s">
        <v>74</v>
      </c>
      <c r="F43" s="25" t="s">
        <v>75</v>
      </c>
      <c r="G43" s="20" t="s">
        <v>75</v>
      </c>
      <c r="H43" s="45" t="s">
        <v>26</v>
      </c>
      <c r="I43" s="25" t="s">
        <v>148</v>
      </c>
      <c r="J43" s="27" t="s">
        <v>149</v>
      </c>
    </row>
    <row r="44" ht="19.5" customHeight="1">
      <c r="B44" s="18" t="s">
        <v>150</v>
      </c>
      <c r="C44" s="18" t="s">
        <v>72</v>
      </c>
      <c r="D44" s="16" t="s">
        <v>73</v>
      </c>
      <c r="E44" s="44" t="s">
        <v>74</v>
      </c>
      <c r="F44" s="18" t="s">
        <v>75</v>
      </c>
      <c r="G44" s="20" t="s">
        <v>75</v>
      </c>
      <c r="H44" s="45" t="s">
        <v>26</v>
      </c>
      <c r="I44" s="18" t="s">
        <v>151</v>
      </c>
      <c r="J44" s="22" t="s">
        <v>105</v>
      </c>
    </row>
    <row r="45" ht="19.5" customHeight="1">
      <c r="B45" s="25" t="s">
        <v>152</v>
      </c>
      <c r="C45" s="25" t="s">
        <v>92</v>
      </c>
      <c r="D45" s="23" t="s">
        <v>92</v>
      </c>
      <c r="E45" s="44" t="s">
        <v>74</v>
      </c>
      <c r="F45" s="25" t="s">
        <v>92</v>
      </c>
      <c r="G45" s="20" t="s">
        <v>92</v>
      </c>
      <c r="H45" s="45" t="s">
        <v>26</v>
      </c>
      <c r="I45" s="25" t="s">
        <v>93</v>
      </c>
      <c r="J45" s="27" t="s">
        <v>130</v>
      </c>
    </row>
    <row r="46" ht="19.5" customHeight="1">
      <c r="B46" s="18" t="s">
        <v>153</v>
      </c>
      <c r="C46" s="18" t="s">
        <v>101</v>
      </c>
      <c r="D46" s="16" t="s">
        <v>102</v>
      </c>
      <c r="E46" s="44" t="s">
        <v>74</v>
      </c>
      <c r="F46" s="18" t="s">
        <v>75</v>
      </c>
      <c r="G46" s="20" t="s">
        <v>75</v>
      </c>
      <c r="H46" s="45" t="s">
        <v>26</v>
      </c>
      <c r="I46" s="18" t="s">
        <v>154</v>
      </c>
      <c r="J46" s="22" t="s">
        <v>149</v>
      </c>
    </row>
    <row r="47" ht="19.5" customHeight="1">
      <c r="B47" s="25" t="s">
        <v>155</v>
      </c>
      <c r="C47" s="25" t="s">
        <v>79</v>
      </c>
      <c r="D47" s="23" t="s">
        <v>80</v>
      </c>
      <c r="E47" s="44" t="s">
        <v>74</v>
      </c>
      <c r="F47" s="25" t="s">
        <v>75</v>
      </c>
      <c r="G47" s="20" t="s">
        <v>75</v>
      </c>
      <c r="H47" s="45" t="s">
        <v>26</v>
      </c>
      <c r="I47" s="25" t="s">
        <v>156</v>
      </c>
      <c r="J47" s="27" t="s">
        <v>146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32" t="s">
        <v>62</v>
      </c>
      <c r="B60" s="32" t="s">
        <v>69</v>
      </c>
      <c r="C60" s="32" t="s">
        <v>114</v>
      </c>
    </row>
    <row r="61" ht="15.75" customHeight="1">
      <c r="A61" s="32" t="s">
        <v>115</v>
      </c>
      <c r="B61" s="32">
        <v>27.26</v>
      </c>
      <c r="C61" s="32">
        <v>100.0</v>
      </c>
    </row>
    <row r="62" ht="15.75" customHeight="1">
      <c r="A62" s="32" t="s">
        <v>116</v>
      </c>
      <c r="B62" s="32">
        <v>27.37</v>
      </c>
      <c r="C62" s="32">
        <v>98.8</v>
      </c>
    </row>
    <row r="63" ht="15.75" customHeight="1">
      <c r="A63" s="32" t="s">
        <v>117</v>
      </c>
      <c r="B63" s="32">
        <v>23.43</v>
      </c>
      <c r="C63" s="32">
        <v>99.6</v>
      </c>
    </row>
    <row r="64" ht="15.75" customHeight="1">
      <c r="A64" s="32" t="s">
        <v>118</v>
      </c>
      <c r="B64" s="32">
        <v>27.21</v>
      </c>
      <c r="C64" s="32">
        <v>99.6</v>
      </c>
    </row>
    <row r="65" ht="15.75" customHeight="1">
      <c r="A65" s="32" t="s">
        <v>119</v>
      </c>
      <c r="C65" s="32">
        <v>98.0</v>
      </c>
    </row>
    <row r="66" ht="15.75" customHeight="1">
      <c r="A66" s="32" t="s">
        <v>120</v>
      </c>
      <c r="B66" s="32">
        <v>30.15</v>
      </c>
      <c r="C66" s="32">
        <v>94.9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32" t="s">
        <v>62</v>
      </c>
      <c r="B75" s="32" t="s">
        <v>69</v>
      </c>
      <c r="C75" s="32" t="s">
        <v>114</v>
      </c>
    </row>
    <row r="76" ht="15.75" customHeight="1">
      <c r="A76" s="32" t="s">
        <v>115</v>
      </c>
      <c r="B76" s="32">
        <v>25.39</v>
      </c>
      <c r="C76" s="32">
        <v>99.2</v>
      </c>
    </row>
    <row r="77" ht="15.75" customHeight="1">
      <c r="A77" s="32" t="s">
        <v>116</v>
      </c>
      <c r="B77" s="32">
        <v>27.7</v>
      </c>
      <c r="C77" s="32">
        <v>98.4</v>
      </c>
    </row>
    <row r="78" ht="15.75" customHeight="1">
      <c r="A78" s="32" t="s">
        <v>117</v>
      </c>
      <c r="B78" s="32">
        <v>26.48</v>
      </c>
      <c r="C78" s="32">
        <v>98.0</v>
      </c>
    </row>
    <row r="79" ht="15.75" customHeight="1">
      <c r="A79" s="32" t="s">
        <v>118</v>
      </c>
      <c r="C79" s="32">
        <v>98.8</v>
      </c>
    </row>
    <row r="80" ht="15.75" customHeight="1">
      <c r="A80" s="32" t="s">
        <v>119</v>
      </c>
      <c r="B80" s="32">
        <v>27.55</v>
      </c>
      <c r="C80" s="32">
        <v>98.4</v>
      </c>
    </row>
    <row r="81" ht="15.75" customHeight="1">
      <c r="A81" s="32" t="s">
        <v>120</v>
      </c>
      <c r="B81" s="32">
        <v>24.91</v>
      </c>
      <c r="C81" s="32">
        <v>99.2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F9:G9"/>
    <mergeCell ref="H9:I9"/>
    <mergeCell ref="B2:J2"/>
    <mergeCell ref="B3:J3"/>
    <mergeCell ref="B5:C5"/>
    <mergeCell ref="B7:J7"/>
    <mergeCell ref="B8:J8"/>
    <mergeCell ref="B9:C9"/>
    <mergeCell ref="D9:E9"/>
    <mergeCell ref="D38:E38"/>
    <mergeCell ref="F38:G38"/>
    <mergeCell ref="B39:C39"/>
    <mergeCell ref="D39:E39"/>
    <mergeCell ref="F39:G39"/>
    <mergeCell ref="H39:J39"/>
    <mergeCell ref="B10:C10"/>
    <mergeCell ref="D10:E10"/>
    <mergeCell ref="F10:G10"/>
    <mergeCell ref="H10:J10"/>
    <mergeCell ref="B36:J36"/>
    <mergeCell ref="B37:J37"/>
    <mergeCell ref="B38:C38"/>
    <mergeCell ref="H38:I38"/>
  </mergeCells>
  <hyperlinks>
    <hyperlink r:id="rId1" location="Dashboard!A1" ref="B5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2.0"/>
    <col customWidth="1" min="2" max="2" width="14.0"/>
    <col customWidth="1" min="3" max="3" width="12.0"/>
    <col customWidth="1" min="4" max="4" width="24.0"/>
    <col customWidth="1" min="5" max="7" width="12.0"/>
    <col customWidth="1" min="8" max="9" width="13.0"/>
    <col customWidth="1" min="10" max="10" width="16.0"/>
    <col customWidth="1" min="11" max="26" width="8.71"/>
  </cols>
  <sheetData>
    <row r="1" ht="6.0" customHeight="1"/>
    <row r="2" ht="45.75" customHeight="1">
      <c r="B2" s="33" t="s">
        <v>157</v>
      </c>
      <c r="C2" s="2"/>
      <c r="D2" s="2"/>
      <c r="E2" s="2"/>
      <c r="F2" s="2"/>
      <c r="G2" s="2"/>
      <c r="H2" s="2"/>
      <c r="I2" s="2"/>
      <c r="J2" s="3"/>
    </row>
    <row r="3" ht="25.5" customHeight="1">
      <c r="B3" s="4" t="s">
        <v>51</v>
      </c>
      <c r="C3" s="2"/>
      <c r="D3" s="2"/>
      <c r="E3" s="2"/>
      <c r="F3" s="2"/>
      <c r="G3" s="2"/>
      <c r="H3" s="2"/>
      <c r="I3" s="2"/>
      <c r="J3" s="3"/>
    </row>
    <row r="4" ht="7.5" customHeight="1"/>
    <row r="5" ht="19.5" customHeight="1">
      <c r="B5" s="34" t="s">
        <v>52</v>
      </c>
      <c r="C5" s="3"/>
    </row>
    <row r="7" ht="9.75" customHeight="1">
      <c r="B7" s="35"/>
      <c r="C7" s="2"/>
      <c r="D7" s="2"/>
      <c r="E7" s="2"/>
      <c r="F7" s="2"/>
      <c r="G7" s="2"/>
      <c r="H7" s="2"/>
      <c r="I7" s="2"/>
      <c r="J7" s="3"/>
    </row>
    <row r="8" ht="27.75" customHeight="1">
      <c r="B8" s="36" t="s">
        <v>158</v>
      </c>
      <c r="C8" s="2"/>
      <c r="D8" s="2"/>
      <c r="E8" s="2"/>
      <c r="F8" s="2"/>
      <c r="G8" s="2"/>
      <c r="H8" s="2"/>
      <c r="I8" s="2"/>
      <c r="J8" s="3"/>
    </row>
    <row r="9" ht="21.75" customHeight="1">
      <c r="B9" s="37" t="s">
        <v>159</v>
      </c>
      <c r="C9" s="38"/>
      <c r="D9" s="37" t="s">
        <v>160</v>
      </c>
      <c r="E9" s="38"/>
      <c r="F9" s="37" t="s">
        <v>161</v>
      </c>
      <c r="G9" s="38"/>
      <c r="H9" s="37" t="s">
        <v>57</v>
      </c>
      <c r="I9" s="38"/>
    </row>
    <row r="10" ht="21.75" customHeight="1">
      <c r="B10" s="39" t="s">
        <v>58</v>
      </c>
      <c r="C10" s="38"/>
      <c r="D10" s="39" t="s">
        <v>59</v>
      </c>
      <c r="E10" s="38"/>
      <c r="F10" s="40" t="s">
        <v>60</v>
      </c>
      <c r="G10" s="38"/>
      <c r="H10" s="41" t="s">
        <v>162</v>
      </c>
      <c r="I10" s="42"/>
      <c r="J10" s="38"/>
    </row>
    <row r="11" ht="7.5" customHeight="1"/>
    <row r="12" ht="24.0" customHeight="1">
      <c r="B12" s="43" t="s">
        <v>62</v>
      </c>
      <c r="C12" s="43" t="s">
        <v>63</v>
      </c>
      <c r="D12" s="43" t="s">
        <v>64</v>
      </c>
      <c r="E12" s="43" t="s">
        <v>65</v>
      </c>
      <c r="F12" s="43" t="s">
        <v>66</v>
      </c>
      <c r="G12" s="43" t="s">
        <v>67</v>
      </c>
      <c r="H12" s="43" t="s">
        <v>68</v>
      </c>
      <c r="I12" s="43" t="s">
        <v>69</v>
      </c>
      <c r="J12" s="43" t="s">
        <v>70</v>
      </c>
    </row>
    <row r="13" ht="19.5" customHeight="1">
      <c r="B13" s="18" t="s">
        <v>163</v>
      </c>
      <c r="C13" s="18" t="s">
        <v>79</v>
      </c>
      <c r="D13" s="16" t="s">
        <v>80</v>
      </c>
      <c r="E13" s="44" t="s">
        <v>74</v>
      </c>
      <c r="F13" s="18" t="s">
        <v>75</v>
      </c>
      <c r="G13" s="20" t="s">
        <v>75</v>
      </c>
      <c r="H13" s="45" t="s">
        <v>26</v>
      </c>
      <c r="I13" s="18" t="s">
        <v>164</v>
      </c>
      <c r="J13" s="22" t="s">
        <v>165</v>
      </c>
    </row>
    <row r="14" ht="19.5" customHeight="1">
      <c r="B14" s="25" t="s">
        <v>166</v>
      </c>
      <c r="C14" s="25" t="s">
        <v>79</v>
      </c>
      <c r="D14" s="23" t="s">
        <v>80</v>
      </c>
      <c r="E14" s="44" t="s">
        <v>74</v>
      </c>
      <c r="F14" s="25" t="s">
        <v>75</v>
      </c>
      <c r="G14" s="20" t="s">
        <v>75</v>
      </c>
      <c r="H14" s="45" t="s">
        <v>26</v>
      </c>
      <c r="I14" s="25" t="s">
        <v>167</v>
      </c>
      <c r="J14" s="27" t="s">
        <v>29</v>
      </c>
    </row>
    <row r="15" ht="19.5" customHeight="1">
      <c r="B15" s="18" t="s">
        <v>168</v>
      </c>
      <c r="C15" s="18" t="s">
        <v>79</v>
      </c>
      <c r="D15" s="16" t="s">
        <v>80</v>
      </c>
      <c r="E15" s="44" t="s">
        <v>74</v>
      </c>
      <c r="F15" s="18" t="s">
        <v>75</v>
      </c>
      <c r="G15" s="20" t="s">
        <v>75</v>
      </c>
      <c r="H15" s="45" t="s">
        <v>26</v>
      </c>
      <c r="I15" s="18" t="s">
        <v>169</v>
      </c>
      <c r="J15" s="22" t="s">
        <v>29</v>
      </c>
    </row>
    <row r="16" ht="19.5" customHeight="1">
      <c r="B16" s="25" t="s">
        <v>170</v>
      </c>
      <c r="C16" s="25" t="s">
        <v>101</v>
      </c>
      <c r="D16" s="23" t="s">
        <v>102</v>
      </c>
      <c r="E16" s="44" t="s">
        <v>74</v>
      </c>
      <c r="F16" s="25" t="s">
        <v>75</v>
      </c>
      <c r="G16" s="20" t="s">
        <v>75</v>
      </c>
      <c r="H16" s="45" t="s">
        <v>26</v>
      </c>
      <c r="I16" s="25" t="s">
        <v>171</v>
      </c>
      <c r="J16" s="27" t="s">
        <v>35</v>
      </c>
    </row>
    <row r="17" ht="19.5" customHeight="1">
      <c r="B17" s="18" t="s">
        <v>172</v>
      </c>
      <c r="C17" s="18" t="s">
        <v>79</v>
      </c>
      <c r="D17" s="16" t="s">
        <v>80</v>
      </c>
      <c r="E17" s="44" t="s">
        <v>74</v>
      </c>
      <c r="F17" s="18" t="s">
        <v>75</v>
      </c>
      <c r="G17" s="20" t="s">
        <v>75</v>
      </c>
      <c r="H17" s="45" t="s">
        <v>26</v>
      </c>
      <c r="I17" s="18" t="s">
        <v>173</v>
      </c>
      <c r="J17" s="22" t="s">
        <v>174</v>
      </c>
    </row>
    <row r="18" ht="19.5" customHeight="1">
      <c r="B18" s="25" t="s">
        <v>175</v>
      </c>
      <c r="C18" s="25" t="s">
        <v>92</v>
      </c>
      <c r="D18" s="23" t="s">
        <v>92</v>
      </c>
      <c r="E18" s="44" t="s">
        <v>74</v>
      </c>
      <c r="F18" s="25" t="s">
        <v>92</v>
      </c>
      <c r="G18" s="20" t="s">
        <v>92</v>
      </c>
      <c r="H18" s="45" t="s">
        <v>26</v>
      </c>
      <c r="I18" s="25" t="s">
        <v>93</v>
      </c>
      <c r="J18" s="27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32" t="s">
        <v>62</v>
      </c>
      <c r="B60" s="32" t="s">
        <v>69</v>
      </c>
      <c r="C60" s="32" t="s">
        <v>114</v>
      </c>
    </row>
    <row r="61" ht="15.75" customHeight="1">
      <c r="A61" s="32" t="s">
        <v>115</v>
      </c>
      <c r="B61" s="32">
        <v>28.41</v>
      </c>
      <c r="C61" s="32">
        <v>96.9</v>
      </c>
    </row>
    <row r="62" ht="15.75" customHeight="1">
      <c r="A62" s="32" t="s">
        <v>116</v>
      </c>
      <c r="B62" s="32">
        <v>25.63</v>
      </c>
      <c r="C62" s="32">
        <v>99.1</v>
      </c>
    </row>
    <row r="63" ht="15.75" customHeight="1">
      <c r="A63" s="32" t="s">
        <v>117</v>
      </c>
      <c r="B63" s="32">
        <v>26.16</v>
      </c>
      <c r="C63" s="32">
        <v>99.1</v>
      </c>
    </row>
    <row r="64" ht="15.75" customHeight="1">
      <c r="A64" s="32" t="s">
        <v>118</v>
      </c>
      <c r="B64" s="32">
        <v>26.64</v>
      </c>
      <c r="C64" s="32">
        <v>98.7</v>
      </c>
    </row>
    <row r="65" ht="15.75" customHeight="1">
      <c r="A65" s="32" t="s">
        <v>119</v>
      </c>
      <c r="B65" s="32">
        <v>29.99</v>
      </c>
      <c r="C65" s="32">
        <v>97.3</v>
      </c>
    </row>
    <row r="66" ht="15.75" customHeight="1">
      <c r="A66" s="32" t="s">
        <v>120</v>
      </c>
      <c r="C66" s="32">
        <v>98.2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F9:G9"/>
    <mergeCell ref="H9:I9"/>
    <mergeCell ref="B10:C10"/>
    <mergeCell ref="D10:E10"/>
    <mergeCell ref="F10:G10"/>
    <mergeCell ref="H10:J10"/>
    <mergeCell ref="B2:J2"/>
    <mergeCell ref="B3:J3"/>
    <mergeCell ref="B5:C5"/>
    <mergeCell ref="B7:J7"/>
    <mergeCell ref="B8:J8"/>
    <mergeCell ref="B9:C9"/>
    <mergeCell ref="D9:E9"/>
  </mergeCells>
  <hyperlinks>
    <hyperlink r:id="rId1" location="Dashboard!A1" ref="B5"/>
  </hyperlinks>
  <printOptions/>
  <pageMargins bottom="1.0" footer="0.0" header="0.0" left="0.75" right="0.75" top="1.0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.0"/>
    <col customWidth="1" min="2" max="2" width="20.0"/>
    <col customWidth="1" min="3" max="6" width="12.0"/>
    <col customWidth="1" min="7" max="9" width="14.0"/>
    <col customWidth="1" min="10" max="26" width="8.71"/>
  </cols>
  <sheetData>
    <row r="1" ht="6.0" customHeight="1"/>
    <row r="2" ht="45.75" customHeight="1">
      <c r="B2" s="33" t="s">
        <v>176</v>
      </c>
      <c r="C2" s="2"/>
      <c r="D2" s="2"/>
      <c r="E2" s="2"/>
      <c r="F2" s="2"/>
      <c r="G2" s="2"/>
      <c r="H2" s="2"/>
      <c r="I2" s="3"/>
    </row>
    <row r="3" ht="24.0" customHeight="1">
      <c r="B3" s="4" t="s">
        <v>177</v>
      </c>
      <c r="C3" s="2"/>
      <c r="D3" s="2"/>
      <c r="E3" s="2"/>
      <c r="F3" s="2"/>
      <c r="G3" s="2"/>
      <c r="H3" s="2"/>
      <c r="I3" s="3"/>
    </row>
    <row r="4" ht="7.5" customHeight="1"/>
    <row r="5" ht="19.5" customHeight="1">
      <c r="B5" s="34" t="s">
        <v>52</v>
      </c>
      <c r="C5" s="3"/>
    </row>
    <row r="6" ht="7.5" customHeight="1"/>
    <row r="7" ht="15.75" customHeight="1">
      <c r="B7" s="5" t="s">
        <v>178</v>
      </c>
      <c r="C7" s="2"/>
      <c r="D7" s="2"/>
      <c r="E7" s="2"/>
      <c r="F7" s="2"/>
      <c r="G7" s="2"/>
      <c r="H7" s="2"/>
      <c r="I7" s="3"/>
    </row>
    <row r="8" ht="24.0" customHeight="1">
      <c r="B8" s="15" t="s">
        <v>64</v>
      </c>
      <c r="C8" s="15" t="s">
        <v>179</v>
      </c>
      <c r="D8" s="15" t="s">
        <v>74</v>
      </c>
      <c r="E8" s="15" t="s">
        <v>88</v>
      </c>
      <c r="F8" s="15" t="s">
        <v>180</v>
      </c>
      <c r="G8" s="15" t="s">
        <v>181</v>
      </c>
      <c r="H8" s="15" t="s">
        <v>182</v>
      </c>
      <c r="I8" s="15" t="s">
        <v>23</v>
      </c>
    </row>
    <row r="9" ht="19.5" customHeight="1">
      <c r="B9" s="44" t="s">
        <v>80</v>
      </c>
      <c r="C9" s="18">
        <v>11.0</v>
      </c>
      <c r="D9" s="18">
        <v>10.0</v>
      </c>
      <c r="E9" s="18">
        <v>1.0</v>
      </c>
      <c r="F9" s="18" t="s">
        <v>183</v>
      </c>
      <c r="G9" s="18" t="s">
        <v>156</v>
      </c>
      <c r="H9" s="18" t="s">
        <v>89</v>
      </c>
      <c r="I9" s="18" t="s">
        <v>130</v>
      </c>
    </row>
    <row r="10" ht="19.5" customHeight="1">
      <c r="B10" s="20" t="s">
        <v>73</v>
      </c>
      <c r="C10" s="25">
        <v>8.0</v>
      </c>
      <c r="D10" s="25">
        <v>8.0</v>
      </c>
      <c r="E10" s="25">
        <v>0.0</v>
      </c>
      <c r="F10" s="25" t="s">
        <v>184</v>
      </c>
      <c r="G10" s="25" t="s">
        <v>132</v>
      </c>
      <c r="H10" s="25" t="s">
        <v>139</v>
      </c>
      <c r="I10" s="25" t="s">
        <v>185</v>
      </c>
    </row>
    <row r="11" ht="19.5" customHeight="1">
      <c r="B11" s="50" t="s">
        <v>102</v>
      </c>
      <c r="C11" s="18">
        <v>5.0</v>
      </c>
      <c r="D11" s="18">
        <v>5.0</v>
      </c>
      <c r="E11" s="18">
        <v>0.0</v>
      </c>
      <c r="F11" s="18" t="s">
        <v>186</v>
      </c>
      <c r="G11" s="18" t="s">
        <v>107</v>
      </c>
      <c r="H11" s="18" t="s">
        <v>148</v>
      </c>
      <c r="I11" s="18" t="s">
        <v>187</v>
      </c>
    </row>
    <row r="12" ht="19.5" customHeight="1">
      <c r="B12" s="46" t="s">
        <v>112</v>
      </c>
      <c r="C12" s="25">
        <v>1.0</v>
      </c>
      <c r="D12" s="25">
        <v>1.0</v>
      </c>
      <c r="E12" s="25">
        <v>0.0</v>
      </c>
      <c r="F12" s="25" t="s">
        <v>113</v>
      </c>
      <c r="G12" s="25" t="s">
        <v>113</v>
      </c>
      <c r="H12" s="25" t="s">
        <v>113</v>
      </c>
      <c r="I12" s="25" t="s">
        <v>77</v>
      </c>
    </row>
    <row r="13" ht="19.5" customHeight="1">
      <c r="B13" s="51" t="s">
        <v>92</v>
      </c>
      <c r="C13" s="18">
        <v>5.0</v>
      </c>
      <c r="D13" s="18">
        <v>5.0</v>
      </c>
      <c r="E13" s="18">
        <v>0.0</v>
      </c>
      <c r="F13" s="18" t="s">
        <v>93</v>
      </c>
      <c r="G13" s="18" t="s">
        <v>93</v>
      </c>
      <c r="H13" s="18" t="s">
        <v>93</v>
      </c>
      <c r="I13" s="18" t="s">
        <v>149</v>
      </c>
    </row>
    <row r="15" ht="7.5" customHeight="1"/>
    <row r="16" ht="15.75" customHeight="1">
      <c r="B16" s="5" t="s">
        <v>188</v>
      </c>
      <c r="C16" s="2"/>
      <c r="D16" s="2"/>
      <c r="E16" s="2"/>
      <c r="F16" s="2"/>
      <c r="G16" s="2"/>
      <c r="H16" s="2"/>
      <c r="I16" s="3"/>
    </row>
    <row r="17" ht="24.0" customHeight="1">
      <c r="B17" s="15" t="s">
        <v>64</v>
      </c>
      <c r="C17" s="15" t="s">
        <v>45</v>
      </c>
      <c r="D17" s="15" t="s">
        <v>46</v>
      </c>
      <c r="E17" s="15" t="s">
        <v>47</v>
      </c>
      <c r="F17" s="15" t="s">
        <v>48</v>
      </c>
      <c r="G17" s="15" t="s">
        <v>49</v>
      </c>
      <c r="H17" s="15" t="s">
        <v>189</v>
      </c>
      <c r="I17" s="15" t="s">
        <v>21</v>
      </c>
    </row>
    <row r="18" ht="19.5" customHeight="1">
      <c r="B18" s="44" t="s">
        <v>80</v>
      </c>
      <c r="C18" s="18">
        <v>2.0</v>
      </c>
      <c r="D18" s="18">
        <v>1.0</v>
      </c>
      <c r="E18" s="18">
        <v>2.0</v>
      </c>
      <c r="F18" s="18">
        <v>2.0</v>
      </c>
      <c r="G18" s="18">
        <v>4.0</v>
      </c>
      <c r="H18" s="18">
        <v>11.0</v>
      </c>
      <c r="I18" s="18" t="s">
        <v>5</v>
      </c>
    </row>
    <row r="19" ht="19.5" customHeight="1">
      <c r="B19" s="20" t="s">
        <v>73</v>
      </c>
      <c r="C19" s="25">
        <v>3.0</v>
      </c>
      <c r="D19" s="25">
        <v>1.0</v>
      </c>
      <c r="E19" s="25">
        <v>3.0</v>
      </c>
      <c r="F19" s="25">
        <v>1.0</v>
      </c>
      <c r="G19" s="25">
        <v>0.0</v>
      </c>
      <c r="H19" s="25">
        <v>8.0</v>
      </c>
      <c r="I19" s="25" t="s">
        <v>5</v>
      </c>
    </row>
    <row r="20" ht="19.5" customHeight="1">
      <c r="B20" s="50" t="s">
        <v>102</v>
      </c>
      <c r="C20" s="18">
        <v>0.0</v>
      </c>
      <c r="D20" s="18">
        <v>2.0</v>
      </c>
      <c r="E20" s="18">
        <v>0.0</v>
      </c>
      <c r="F20" s="18">
        <v>2.0</v>
      </c>
      <c r="G20" s="18">
        <v>1.0</v>
      </c>
      <c r="H20" s="18">
        <v>5.0</v>
      </c>
      <c r="I20" s="18" t="s">
        <v>5</v>
      </c>
    </row>
    <row r="21" ht="19.5" customHeight="1">
      <c r="B21" s="46" t="s">
        <v>112</v>
      </c>
      <c r="C21" s="25">
        <v>0.0</v>
      </c>
      <c r="D21" s="25">
        <v>1.0</v>
      </c>
      <c r="E21" s="25">
        <v>0.0</v>
      </c>
      <c r="F21" s="25">
        <v>0.0</v>
      </c>
      <c r="G21" s="25">
        <v>0.0</v>
      </c>
      <c r="H21" s="25">
        <v>1.0</v>
      </c>
      <c r="I21" s="25" t="s">
        <v>5</v>
      </c>
    </row>
    <row r="22" ht="19.5" customHeight="1">
      <c r="B22" s="51" t="s">
        <v>92</v>
      </c>
      <c r="C22" s="18">
        <v>1.0</v>
      </c>
      <c r="D22" s="18">
        <v>1.0</v>
      </c>
      <c r="E22" s="18">
        <v>1.0</v>
      </c>
      <c r="F22" s="18">
        <v>1.0</v>
      </c>
      <c r="G22" s="18">
        <v>1.0</v>
      </c>
      <c r="H22" s="18">
        <v>5.0</v>
      </c>
      <c r="I22" s="18" t="s">
        <v>190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B40" s="5" t="s">
        <v>191</v>
      </c>
      <c r="C40" s="2"/>
      <c r="D40" s="2"/>
      <c r="E40" s="2"/>
      <c r="F40" s="2"/>
      <c r="G40" s="2"/>
      <c r="H40" s="2"/>
      <c r="I40" s="3"/>
    </row>
    <row r="41" ht="24.0" customHeight="1">
      <c r="B41" s="15" t="s">
        <v>16</v>
      </c>
      <c r="C41" s="15" t="s">
        <v>192</v>
      </c>
      <c r="D41" s="15" t="s">
        <v>193</v>
      </c>
      <c r="E41" s="15" t="s">
        <v>194</v>
      </c>
      <c r="F41" s="15" t="s">
        <v>21</v>
      </c>
      <c r="G41" s="15" t="s">
        <v>195</v>
      </c>
      <c r="H41" s="15" t="s">
        <v>196</v>
      </c>
      <c r="I41" s="15" t="s">
        <v>22</v>
      </c>
    </row>
    <row r="42" ht="19.5" customHeight="1">
      <c r="B42" s="16" t="s">
        <v>45</v>
      </c>
      <c r="C42" s="18" t="s">
        <v>25</v>
      </c>
      <c r="D42" s="18">
        <v>5.0</v>
      </c>
      <c r="E42" s="18">
        <v>0.0</v>
      </c>
      <c r="F42" s="20" t="s">
        <v>28</v>
      </c>
      <c r="G42" s="18">
        <v>1.0</v>
      </c>
      <c r="H42" s="18">
        <v>0.0</v>
      </c>
      <c r="I42" s="20" t="s">
        <v>28</v>
      </c>
    </row>
    <row r="43" ht="19.5" customHeight="1">
      <c r="B43" s="23" t="s">
        <v>46</v>
      </c>
      <c r="C43" s="25" t="s">
        <v>31</v>
      </c>
      <c r="D43" s="25">
        <v>5.0</v>
      </c>
      <c r="E43" s="25">
        <v>0.0</v>
      </c>
      <c r="F43" s="20" t="s">
        <v>28</v>
      </c>
      <c r="G43" s="25">
        <v>1.0</v>
      </c>
      <c r="H43" s="25">
        <v>0.0</v>
      </c>
      <c r="I43" s="20" t="s">
        <v>28</v>
      </c>
    </row>
    <row r="44" ht="19.5" customHeight="1">
      <c r="B44" s="16" t="s">
        <v>47</v>
      </c>
      <c r="C44" s="18" t="s">
        <v>33</v>
      </c>
      <c r="D44" s="18">
        <v>5.0</v>
      </c>
      <c r="E44" s="18">
        <v>0.0</v>
      </c>
      <c r="F44" s="20" t="s">
        <v>28</v>
      </c>
      <c r="G44" s="18">
        <v>1.0</v>
      </c>
      <c r="H44" s="18">
        <v>0.0</v>
      </c>
      <c r="I44" s="20" t="s">
        <v>28</v>
      </c>
    </row>
    <row r="45" ht="19.5" customHeight="1">
      <c r="B45" s="23" t="s">
        <v>48</v>
      </c>
      <c r="C45" s="25" t="s">
        <v>34</v>
      </c>
      <c r="D45" s="25">
        <v>5.0</v>
      </c>
      <c r="E45" s="25">
        <v>0.0</v>
      </c>
      <c r="F45" s="20" t="s">
        <v>28</v>
      </c>
      <c r="G45" s="25">
        <v>1.0</v>
      </c>
      <c r="H45" s="25">
        <v>0.0</v>
      </c>
      <c r="I45" s="20" t="s">
        <v>28</v>
      </c>
    </row>
    <row r="46" ht="19.5" customHeight="1">
      <c r="B46" s="16" t="s">
        <v>49</v>
      </c>
      <c r="C46" s="18" t="s">
        <v>36</v>
      </c>
      <c r="D46" s="18">
        <v>5.0</v>
      </c>
      <c r="E46" s="18">
        <v>0.0</v>
      </c>
      <c r="F46" s="20" t="s">
        <v>28</v>
      </c>
      <c r="G46" s="18">
        <v>1.0</v>
      </c>
      <c r="H46" s="18">
        <v>0.0</v>
      </c>
      <c r="I46" s="20" t="s">
        <v>28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32" t="s">
        <v>197</v>
      </c>
      <c r="B60" s="32" t="s">
        <v>198</v>
      </c>
    </row>
    <row r="61" ht="15.75" customHeight="1">
      <c r="A61" s="32" t="s">
        <v>80</v>
      </c>
      <c r="B61" s="32">
        <v>11.0</v>
      </c>
    </row>
    <row r="62" ht="15.75" customHeight="1">
      <c r="A62" s="32" t="s">
        <v>73</v>
      </c>
      <c r="B62" s="32">
        <v>8.0</v>
      </c>
    </row>
    <row r="63" ht="15.75" customHeight="1">
      <c r="A63" s="32" t="s">
        <v>102</v>
      </c>
      <c r="B63" s="32">
        <v>5.0</v>
      </c>
    </row>
    <row r="64" ht="15.75" customHeight="1">
      <c r="A64" s="32" t="s">
        <v>112</v>
      </c>
      <c r="B64" s="32">
        <v>1.0</v>
      </c>
    </row>
    <row r="65" ht="15.75" customHeight="1">
      <c r="A65" s="32" t="s">
        <v>92</v>
      </c>
      <c r="B65" s="32">
        <v>5.0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I2"/>
    <mergeCell ref="B3:I3"/>
    <mergeCell ref="B5:C5"/>
    <mergeCell ref="B7:I7"/>
    <mergeCell ref="B16:I16"/>
    <mergeCell ref="B40:I40"/>
  </mergeCells>
  <hyperlinks>
    <hyperlink r:id="rId1" location="Dashboard!A1" ref="B5"/>
  </hyperlinks>
  <printOptions/>
  <pageMargins bottom="1.0" footer="0.0" header="0.0" left="0.75" right="0.75" top="1.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12.0"/>
    <col customWidth="1" min="4" max="4" width="26.0"/>
    <col customWidth="1" min="5" max="5" width="12.0"/>
    <col customWidth="1" min="6" max="6" width="16.0"/>
    <col customWidth="1" min="7" max="7" width="12.0"/>
    <col customWidth="1" min="8" max="8" width="14.0"/>
    <col customWidth="1" min="9" max="9" width="12.0"/>
    <col customWidth="1" min="10" max="10" width="10.0"/>
    <col customWidth="1" min="11" max="11" width="12.0"/>
    <col customWidth="1" min="12" max="26" width="8.71"/>
  </cols>
  <sheetData>
    <row r="1" ht="6.0" customHeight="1"/>
    <row r="2" ht="39.75" customHeight="1">
      <c r="A2" s="52" t="s">
        <v>199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24.0" customHeight="1">
      <c r="A4" s="15" t="s">
        <v>15</v>
      </c>
      <c r="B4" s="15" t="s">
        <v>16</v>
      </c>
      <c r="C4" s="15" t="s">
        <v>192</v>
      </c>
      <c r="D4" s="15" t="s">
        <v>200</v>
      </c>
      <c r="E4" s="15" t="s">
        <v>197</v>
      </c>
      <c r="F4" s="15" t="s">
        <v>63</v>
      </c>
      <c r="G4" s="15" t="s">
        <v>65</v>
      </c>
      <c r="H4" s="15" t="s">
        <v>67</v>
      </c>
      <c r="I4" s="15" t="s">
        <v>68</v>
      </c>
      <c r="J4" s="15" t="s">
        <v>69</v>
      </c>
      <c r="K4" s="15" t="s">
        <v>114</v>
      </c>
    </row>
    <row r="5" ht="18.0" customHeight="1">
      <c r="A5" s="16">
        <v>2024.0</v>
      </c>
      <c r="B5" s="18" t="s">
        <v>24</v>
      </c>
      <c r="C5" s="18" t="s">
        <v>25</v>
      </c>
      <c r="D5" s="18" t="s">
        <v>71</v>
      </c>
      <c r="E5" s="18" t="s">
        <v>73</v>
      </c>
      <c r="F5" s="18" t="s">
        <v>72</v>
      </c>
      <c r="G5" s="53" t="s">
        <v>74</v>
      </c>
      <c r="H5" s="20" t="s">
        <v>75</v>
      </c>
      <c r="I5" s="18">
        <v>0.0</v>
      </c>
      <c r="J5" s="18" t="s">
        <v>76</v>
      </c>
      <c r="K5" s="18" t="s">
        <v>77</v>
      </c>
    </row>
    <row r="6" ht="18.0" customHeight="1">
      <c r="A6" s="23">
        <v>2024.0</v>
      </c>
      <c r="B6" s="25" t="s">
        <v>24</v>
      </c>
      <c r="C6" s="25" t="s">
        <v>25</v>
      </c>
      <c r="D6" s="25" t="s">
        <v>78</v>
      </c>
      <c r="E6" s="25" t="s">
        <v>80</v>
      </c>
      <c r="F6" s="25" t="s">
        <v>79</v>
      </c>
      <c r="G6" s="53" t="s">
        <v>74</v>
      </c>
      <c r="H6" s="20" t="s">
        <v>75</v>
      </c>
      <c r="I6" s="25">
        <v>0.0</v>
      </c>
      <c r="J6" s="25" t="s">
        <v>81</v>
      </c>
      <c r="K6" s="25" t="s">
        <v>82</v>
      </c>
    </row>
    <row r="7" ht="18.0" customHeight="1">
      <c r="A7" s="16">
        <v>2024.0</v>
      </c>
      <c r="B7" s="18" t="s">
        <v>24</v>
      </c>
      <c r="C7" s="18" t="s">
        <v>25</v>
      </c>
      <c r="D7" s="18" t="s">
        <v>83</v>
      </c>
      <c r="E7" s="18" t="s">
        <v>73</v>
      </c>
      <c r="F7" s="18" t="s">
        <v>72</v>
      </c>
      <c r="G7" s="53" t="s">
        <v>74</v>
      </c>
      <c r="H7" s="20" t="s">
        <v>75</v>
      </c>
      <c r="I7" s="18">
        <v>0.0</v>
      </c>
      <c r="J7" s="18" t="s">
        <v>84</v>
      </c>
      <c r="K7" s="18" t="s">
        <v>77</v>
      </c>
    </row>
    <row r="8" ht="18.0" customHeight="1">
      <c r="A8" s="23">
        <v>2024.0</v>
      </c>
      <c r="B8" s="25" t="s">
        <v>24</v>
      </c>
      <c r="C8" s="25" t="s">
        <v>25</v>
      </c>
      <c r="D8" s="25" t="s">
        <v>85</v>
      </c>
      <c r="E8" s="25" t="s">
        <v>73</v>
      </c>
      <c r="F8" s="25" t="s">
        <v>72</v>
      </c>
      <c r="G8" s="53" t="s">
        <v>74</v>
      </c>
      <c r="H8" s="20" t="s">
        <v>75</v>
      </c>
      <c r="I8" s="25">
        <v>0.0</v>
      </c>
      <c r="J8" s="25" t="s">
        <v>86</v>
      </c>
      <c r="K8" s="25" t="s">
        <v>77</v>
      </c>
    </row>
    <row r="9" ht="18.0" customHeight="1">
      <c r="A9" s="16">
        <v>2024.0</v>
      </c>
      <c r="B9" s="18" t="s">
        <v>24</v>
      </c>
      <c r="C9" s="18" t="s">
        <v>25</v>
      </c>
      <c r="D9" s="18" t="s">
        <v>87</v>
      </c>
      <c r="E9" s="18" t="s">
        <v>80</v>
      </c>
      <c r="F9" s="18" t="s">
        <v>79</v>
      </c>
      <c r="G9" s="54" t="s">
        <v>88</v>
      </c>
      <c r="H9" s="20" t="s">
        <v>75</v>
      </c>
      <c r="I9" s="18">
        <v>0.0</v>
      </c>
      <c r="J9" s="18" t="s">
        <v>89</v>
      </c>
      <c r="K9" s="55" t="s">
        <v>90</v>
      </c>
    </row>
    <row r="10" ht="18.0" customHeight="1">
      <c r="A10" s="23">
        <v>2024.0</v>
      </c>
      <c r="B10" s="25" t="s">
        <v>24</v>
      </c>
      <c r="C10" s="25" t="s">
        <v>25</v>
      </c>
      <c r="D10" s="25" t="s">
        <v>91</v>
      </c>
      <c r="E10" s="25" t="s">
        <v>92</v>
      </c>
      <c r="F10" s="25" t="s">
        <v>92</v>
      </c>
      <c r="G10" s="53" t="s">
        <v>74</v>
      </c>
      <c r="H10" s="20" t="s">
        <v>92</v>
      </c>
      <c r="I10" s="25">
        <v>0.0</v>
      </c>
      <c r="J10" s="25" t="s">
        <v>93</v>
      </c>
      <c r="K10" s="25" t="s">
        <v>77</v>
      </c>
    </row>
    <row r="11" ht="18.0" customHeight="1">
      <c r="A11" s="16">
        <v>2024.0</v>
      </c>
      <c r="B11" s="18" t="s">
        <v>30</v>
      </c>
      <c r="C11" s="18" t="s">
        <v>31</v>
      </c>
      <c r="D11" s="18" t="s">
        <v>98</v>
      </c>
      <c r="E11" s="18" t="s">
        <v>80</v>
      </c>
      <c r="F11" s="18" t="s">
        <v>79</v>
      </c>
      <c r="G11" s="53" t="s">
        <v>74</v>
      </c>
      <c r="H11" s="20" t="s">
        <v>75</v>
      </c>
      <c r="I11" s="18">
        <v>0.0</v>
      </c>
      <c r="J11" s="18" t="s">
        <v>99</v>
      </c>
      <c r="K11" s="18" t="s">
        <v>32</v>
      </c>
    </row>
    <row r="12" ht="18.0" customHeight="1">
      <c r="A12" s="23">
        <v>2024.0</v>
      </c>
      <c r="B12" s="25" t="s">
        <v>30</v>
      </c>
      <c r="C12" s="25" t="s">
        <v>31</v>
      </c>
      <c r="D12" s="25" t="s">
        <v>100</v>
      </c>
      <c r="E12" s="25" t="s">
        <v>102</v>
      </c>
      <c r="F12" s="25" t="s">
        <v>101</v>
      </c>
      <c r="G12" s="53" t="s">
        <v>74</v>
      </c>
      <c r="H12" s="20" t="s">
        <v>75</v>
      </c>
      <c r="I12" s="25">
        <v>0.0</v>
      </c>
      <c r="J12" s="25" t="s">
        <v>103</v>
      </c>
      <c r="K12" s="25" t="s">
        <v>77</v>
      </c>
    </row>
    <row r="13" ht="18.0" customHeight="1">
      <c r="A13" s="16">
        <v>2024.0</v>
      </c>
      <c r="B13" s="18" t="s">
        <v>30</v>
      </c>
      <c r="C13" s="18" t="s">
        <v>31</v>
      </c>
      <c r="D13" s="18" t="s">
        <v>104</v>
      </c>
      <c r="E13" s="18" t="s">
        <v>92</v>
      </c>
      <c r="F13" s="18" t="s">
        <v>92</v>
      </c>
      <c r="G13" s="53" t="s">
        <v>74</v>
      </c>
      <c r="H13" s="20" t="s">
        <v>92</v>
      </c>
      <c r="I13" s="18">
        <v>0.0</v>
      </c>
      <c r="J13" s="18" t="s">
        <v>93</v>
      </c>
      <c r="K13" s="18" t="s">
        <v>105</v>
      </c>
    </row>
    <row r="14" ht="18.0" customHeight="1">
      <c r="A14" s="23">
        <v>2024.0</v>
      </c>
      <c r="B14" s="25" t="s">
        <v>30</v>
      </c>
      <c r="C14" s="25" t="s">
        <v>31</v>
      </c>
      <c r="D14" s="25" t="s">
        <v>106</v>
      </c>
      <c r="E14" s="25" t="s">
        <v>102</v>
      </c>
      <c r="F14" s="25" t="s">
        <v>101</v>
      </c>
      <c r="G14" s="53" t="s">
        <v>74</v>
      </c>
      <c r="H14" s="20" t="s">
        <v>75</v>
      </c>
      <c r="I14" s="25">
        <v>0.0</v>
      </c>
      <c r="J14" s="25" t="s">
        <v>107</v>
      </c>
      <c r="K14" s="25" t="s">
        <v>32</v>
      </c>
    </row>
    <row r="15" ht="18.0" customHeight="1">
      <c r="A15" s="16">
        <v>2024.0</v>
      </c>
      <c r="B15" s="18" t="s">
        <v>30</v>
      </c>
      <c r="C15" s="18" t="s">
        <v>31</v>
      </c>
      <c r="D15" s="18" t="s">
        <v>108</v>
      </c>
      <c r="E15" s="18" t="s">
        <v>73</v>
      </c>
      <c r="F15" s="18" t="s">
        <v>72</v>
      </c>
      <c r="G15" s="53" t="s">
        <v>74</v>
      </c>
      <c r="H15" s="20" t="s">
        <v>75</v>
      </c>
      <c r="I15" s="18">
        <v>0.0</v>
      </c>
      <c r="J15" s="18" t="s">
        <v>109</v>
      </c>
      <c r="K15" s="18" t="s">
        <v>105</v>
      </c>
    </row>
    <row r="16" ht="18.0" customHeight="1">
      <c r="A16" s="23">
        <v>2024.0</v>
      </c>
      <c r="B16" s="25" t="s">
        <v>30</v>
      </c>
      <c r="C16" s="25" t="s">
        <v>31</v>
      </c>
      <c r="D16" s="25" t="s">
        <v>110</v>
      </c>
      <c r="E16" s="25" t="s">
        <v>112</v>
      </c>
      <c r="F16" s="25" t="s">
        <v>111</v>
      </c>
      <c r="G16" s="53" t="s">
        <v>74</v>
      </c>
      <c r="H16" s="20" t="s">
        <v>75</v>
      </c>
      <c r="I16" s="25">
        <v>0.0</v>
      </c>
      <c r="J16" s="25" t="s">
        <v>113</v>
      </c>
      <c r="K16" s="25" t="s">
        <v>77</v>
      </c>
    </row>
    <row r="17" ht="18.0" customHeight="1">
      <c r="A17" s="16">
        <v>2025.0</v>
      </c>
      <c r="B17" s="18" t="s">
        <v>24</v>
      </c>
      <c r="C17" s="18" t="s">
        <v>33</v>
      </c>
      <c r="D17" s="18" t="s">
        <v>126</v>
      </c>
      <c r="E17" s="18" t="s">
        <v>80</v>
      </c>
      <c r="F17" s="18" t="s">
        <v>79</v>
      </c>
      <c r="G17" s="53" t="s">
        <v>74</v>
      </c>
      <c r="H17" s="20" t="s">
        <v>75</v>
      </c>
      <c r="I17" s="18">
        <v>0.0</v>
      </c>
      <c r="J17" s="18" t="s">
        <v>127</v>
      </c>
      <c r="K17" s="18" t="s">
        <v>28</v>
      </c>
    </row>
    <row r="18" ht="18.0" customHeight="1">
      <c r="A18" s="23">
        <v>2025.0</v>
      </c>
      <c r="B18" s="25" t="s">
        <v>24</v>
      </c>
      <c r="C18" s="25" t="s">
        <v>33</v>
      </c>
      <c r="D18" s="25" t="s">
        <v>128</v>
      </c>
      <c r="E18" s="25" t="s">
        <v>73</v>
      </c>
      <c r="F18" s="25" t="s">
        <v>72</v>
      </c>
      <c r="G18" s="53" t="s">
        <v>74</v>
      </c>
      <c r="H18" s="20" t="s">
        <v>75</v>
      </c>
      <c r="I18" s="25">
        <v>0.0</v>
      </c>
      <c r="J18" s="25" t="s">
        <v>129</v>
      </c>
      <c r="K18" s="25" t="s">
        <v>130</v>
      </c>
    </row>
    <row r="19" ht="18.0" customHeight="1">
      <c r="A19" s="16">
        <v>2025.0</v>
      </c>
      <c r="B19" s="18" t="s">
        <v>24</v>
      </c>
      <c r="C19" s="18" t="s">
        <v>33</v>
      </c>
      <c r="D19" s="18" t="s">
        <v>131</v>
      </c>
      <c r="E19" s="18" t="s">
        <v>73</v>
      </c>
      <c r="F19" s="18" t="s">
        <v>72</v>
      </c>
      <c r="G19" s="53" t="s">
        <v>74</v>
      </c>
      <c r="H19" s="20" t="s">
        <v>75</v>
      </c>
      <c r="I19" s="18">
        <v>0.0</v>
      </c>
      <c r="J19" s="18" t="s">
        <v>132</v>
      </c>
      <c r="K19" s="18" t="s">
        <v>133</v>
      </c>
    </row>
    <row r="20" ht="18.0" customHeight="1">
      <c r="A20" s="23">
        <v>2025.0</v>
      </c>
      <c r="B20" s="25" t="s">
        <v>24</v>
      </c>
      <c r="C20" s="25" t="s">
        <v>33</v>
      </c>
      <c r="D20" s="25" t="s">
        <v>134</v>
      </c>
      <c r="E20" s="25" t="s">
        <v>80</v>
      </c>
      <c r="F20" s="25" t="s">
        <v>79</v>
      </c>
      <c r="G20" s="53" t="s">
        <v>74</v>
      </c>
      <c r="H20" s="20" t="s">
        <v>75</v>
      </c>
      <c r="I20" s="25">
        <v>0.0</v>
      </c>
      <c r="J20" s="25" t="s">
        <v>135</v>
      </c>
      <c r="K20" s="25" t="s">
        <v>133</v>
      </c>
    </row>
    <row r="21" ht="18.0" customHeight="1">
      <c r="A21" s="16">
        <v>2025.0</v>
      </c>
      <c r="B21" s="18" t="s">
        <v>24</v>
      </c>
      <c r="C21" s="18" t="s">
        <v>33</v>
      </c>
      <c r="D21" s="18" t="s">
        <v>136</v>
      </c>
      <c r="E21" s="18" t="s">
        <v>92</v>
      </c>
      <c r="F21" s="18" t="s">
        <v>92</v>
      </c>
      <c r="G21" s="53" t="s">
        <v>74</v>
      </c>
      <c r="H21" s="20" t="s">
        <v>92</v>
      </c>
      <c r="I21" s="18">
        <v>0.0</v>
      </c>
      <c r="J21" s="18" t="s">
        <v>93</v>
      </c>
      <c r="K21" s="18" t="s">
        <v>105</v>
      </c>
    </row>
    <row r="22" ht="18.0" customHeight="1">
      <c r="A22" s="23">
        <v>2025.0</v>
      </c>
      <c r="B22" s="25" t="s">
        <v>24</v>
      </c>
      <c r="C22" s="25" t="s">
        <v>33</v>
      </c>
      <c r="D22" s="25" t="s">
        <v>137</v>
      </c>
      <c r="E22" s="25" t="s">
        <v>73</v>
      </c>
      <c r="F22" s="25" t="s">
        <v>138</v>
      </c>
      <c r="G22" s="53" t="s">
        <v>74</v>
      </c>
      <c r="H22" s="20" t="s">
        <v>75</v>
      </c>
      <c r="I22" s="25">
        <v>0.0</v>
      </c>
      <c r="J22" s="25" t="s">
        <v>139</v>
      </c>
      <c r="K22" s="55" t="s">
        <v>140</v>
      </c>
    </row>
    <row r="23" ht="18.0" customHeight="1">
      <c r="A23" s="16">
        <v>2025.0</v>
      </c>
      <c r="B23" s="18" t="s">
        <v>30</v>
      </c>
      <c r="C23" s="18" t="s">
        <v>34</v>
      </c>
      <c r="D23" s="18" t="s">
        <v>144</v>
      </c>
      <c r="E23" s="18" t="s">
        <v>80</v>
      </c>
      <c r="F23" s="18" t="s">
        <v>79</v>
      </c>
      <c r="G23" s="53" t="s">
        <v>74</v>
      </c>
      <c r="H23" s="20" t="s">
        <v>75</v>
      </c>
      <c r="I23" s="18">
        <v>0.0</v>
      </c>
      <c r="J23" s="18" t="s">
        <v>145</v>
      </c>
      <c r="K23" s="18" t="s">
        <v>146</v>
      </c>
    </row>
    <row r="24" ht="18.0" customHeight="1">
      <c r="A24" s="23">
        <v>2025.0</v>
      </c>
      <c r="B24" s="25" t="s">
        <v>30</v>
      </c>
      <c r="C24" s="25" t="s">
        <v>34</v>
      </c>
      <c r="D24" s="25" t="s">
        <v>147</v>
      </c>
      <c r="E24" s="25" t="s">
        <v>102</v>
      </c>
      <c r="F24" s="25" t="s">
        <v>101</v>
      </c>
      <c r="G24" s="53" t="s">
        <v>74</v>
      </c>
      <c r="H24" s="20" t="s">
        <v>75</v>
      </c>
      <c r="I24" s="25">
        <v>0.0</v>
      </c>
      <c r="J24" s="25" t="s">
        <v>148</v>
      </c>
      <c r="K24" s="25" t="s">
        <v>149</v>
      </c>
    </row>
    <row r="25" ht="18.0" customHeight="1">
      <c r="A25" s="16">
        <v>2025.0</v>
      </c>
      <c r="B25" s="18" t="s">
        <v>30</v>
      </c>
      <c r="C25" s="18" t="s">
        <v>34</v>
      </c>
      <c r="D25" s="18" t="s">
        <v>150</v>
      </c>
      <c r="E25" s="18" t="s">
        <v>73</v>
      </c>
      <c r="F25" s="18" t="s">
        <v>72</v>
      </c>
      <c r="G25" s="53" t="s">
        <v>74</v>
      </c>
      <c r="H25" s="20" t="s">
        <v>75</v>
      </c>
      <c r="I25" s="18">
        <v>0.0</v>
      </c>
      <c r="J25" s="18" t="s">
        <v>151</v>
      </c>
      <c r="K25" s="18" t="s">
        <v>105</v>
      </c>
    </row>
    <row r="26" ht="18.0" customHeight="1">
      <c r="A26" s="23">
        <v>2025.0</v>
      </c>
      <c r="B26" s="25" t="s">
        <v>30</v>
      </c>
      <c r="C26" s="25" t="s">
        <v>34</v>
      </c>
      <c r="D26" s="25" t="s">
        <v>152</v>
      </c>
      <c r="E26" s="25" t="s">
        <v>92</v>
      </c>
      <c r="F26" s="25" t="s">
        <v>92</v>
      </c>
      <c r="G26" s="53" t="s">
        <v>74</v>
      </c>
      <c r="H26" s="20" t="s">
        <v>92</v>
      </c>
      <c r="I26" s="25">
        <v>0.0</v>
      </c>
      <c r="J26" s="25" t="s">
        <v>93</v>
      </c>
      <c r="K26" s="25" t="s">
        <v>130</v>
      </c>
    </row>
    <row r="27" ht="18.0" customHeight="1">
      <c r="A27" s="16">
        <v>2025.0</v>
      </c>
      <c r="B27" s="18" t="s">
        <v>30</v>
      </c>
      <c r="C27" s="18" t="s">
        <v>34</v>
      </c>
      <c r="D27" s="18" t="s">
        <v>153</v>
      </c>
      <c r="E27" s="18" t="s">
        <v>102</v>
      </c>
      <c r="F27" s="18" t="s">
        <v>101</v>
      </c>
      <c r="G27" s="53" t="s">
        <v>74</v>
      </c>
      <c r="H27" s="20" t="s">
        <v>75</v>
      </c>
      <c r="I27" s="18">
        <v>0.0</v>
      </c>
      <c r="J27" s="18" t="s">
        <v>154</v>
      </c>
      <c r="K27" s="18" t="s">
        <v>149</v>
      </c>
    </row>
    <row r="28" ht="18.0" customHeight="1">
      <c r="A28" s="23">
        <v>2025.0</v>
      </c>
      <c r="B28" s="25" t="s">
        <v>30</v>
      </c>
      <c r="C28" s="25" t="s">
        <v>34</v>
      </c>
      <c r="D28" s="25" t="s">
        <v>155</v>
      </c>
      <c r="E28" s="25" t="s">
        <v>80</v>
      </c>
      <c r="F28" s="25" t="s">
        <v>79</v>
      </c>
      <c r="G28" s="53" t="s">
        <v>74</v>
      </c>
      <c r="H28" s="20" t="s">
        <v>75</v>
      </c>
      <c r="I28" s="25">
        <v>0.0</v>
      </c>
      <c r="J28" s="25" t="s">
        <v>156</v>
      </c>
      <c r="K28" s="25" t="s">
        <v>146</v>
      </c>
    </row>
    <row r="29" ht="18.0" customHeight="1">
      <c r="A29" s="16">
        <v>2026.0</v>
      </c>
      <c r="B29" s="18" t="s">
        <v>24</v>
      </c>
      <c r="C29" s="18" t="s">
        <v>36</v>
      </c>
      <c r="D29" s="18" t="s">
        <v>163</v>
      </c>
      <c r="E29" s="18" t="s">
        <v>80</v>
      </c>
      <c r="F29" s="18" t="s">
        <v>79</v>
      </c>
      <c r="G29" s="53" t="s">
        <v>74</v>
      </c>
      <c r="H29" s="20" t="s">
        <v>75</v>
      </c>
      <c r="I29" s="18">
        <v>0.0</v>
      </c>
      <c r="J29" s="18" t="s">
        <v>164</v>
      </c>
      <c r="K29" s="18" t="s">
        <v>165</v>
      </c>
    </row>
    <row r="30" ht="18.0" customHeight="1">
      <c r="A30" s="23">
        <v>2026.0</v>
      </c>
      <c r="B30" s="25" t="s">
        <v>24</v>
      </c>
      <c r="C30" s="25" t="s">
        <v>36</v>
      </c>
      <c r="D30" s="25" t="s">
        <v>166</v>
      </c>
      <c r="E30" s="25" t="s">
        <v>80</v>
      </c>
      <c r="F30" s="25" t="s">
        <v>79</v>
      </c>
      <c r="G30" s="53" t="s">
        <v>74</v>
      </c>
      <c r="H30" s="20" t="s">
        <v>75</v>
      </c>
      <c r="I30" s="25">
        <v>0.0</v>
      </c>
      <c r="J30" s="25" t="s">
        <v>167</v>
      </c>
      <c r="K30" s="25" t="s">
        <v>29</v>
      </c>
    </row>
    <row r="31" ht="18.0" customHeight="1">
      <c r="A31" s="16">
        <v>2026.0</v>
      </c>
      <c r="B31" s="18" t="s">
        <v>24</v>
      </c>
      <c r="C31" s="18" t="s">
        <v>36</v>
      </c>
      <c r="D31" s="18" t="s">
        <v>168</v>
      </c>
      <c r="E31" s="18" t="s">
        <v>80</v>
      </c>
      <c r="F31" s="18" t="s">
        <v>79</v>
      </c>
      <c r="G31" s="53" t="s">
        <v>74</v>
      </c>
      <c r="H31" s="20" t="s">
        <v>75</v>
      </c>
      <c r="I31" s="18">
        <v>0.0</v>
      </c>
      <c r="J31" s="18" t="s">
        <v>169</v>
      </c>
      <c r="K31" s="18" t="s">
        <v>29</v>
      </c>
    </row>
    <row r="32" ht="18.0" customHeight="1">
      <c r="A32" s="23">
        <v>2026.0</v>
      </c>
      <c r="B32" s="25" t="s">
        <v>24</v>
      </c>
      <c r="C32" s="25" t="s">
        <v>36</v>
      </c>
      <c r="D32" s="25" t="s">
        <v>170</v>
      </c>
      <c r="E32" s="25" t="s">
        <v>102</v>
      </c>
      <c r="F32" s="25" t="s">
        <v>101</v>
      </c>
      <c r="G32" s="53" t="s">
        <v>74</v>
      </c>
      <c r="H32" s="20" t="s">
        <v>75</v>
      </c>
      <c r="I32" s="25">
        <v>0.0</v>
      </c>
      <c r="J32" s="25" t="s">
        <v>171</v>
      </c>
      <c r="K32" s="25" t="s">
        <v>35</v>
      </c>
    </row>
    <row r="33" ht="18.0" customHeight="1">
      <c r="A33" s="16">
        <v>2026.0</v>
      </c>
      <c r="B33" s="18" t="s">
        <v>24</v>
      </c>
      <c r="C33" s="18" t="s">
        <v>36</v>
      </c>
      <c r="D33" s="18" t="s">
        <v>172</v>
      </c>
      <c r="E33" s="18" t="s">
        <v>80</v>
      </c>
      <c r="F33" s="18" t="s">
        <v>79</v>
      </c>
      <c r="G33" s="53" t="s">
        <v>74</v>
      </c>
      <c r="H33" s="20" t="s">
        <v>75</v>
      </c>
      <c r="I33" s="18">
        <v>0.0</v>
      </c>
      <c r="J33" s="18" t="s">
        <v>173</v>
      </c>
      <c r="K33" s="18" t="s">
        <v>174</v>
      </c>
    </row>
    <row r="34" ht="18.0" customHeight="1">
      <c r="A34" s="23">
        <v>2026.0</v>
      </c>
      <c r="B34" s="25" t="s">
        <v>24</v>
      </c>
      <c r="C34" s="25" t="s">
        <v>36</v>
      </c>
      <c r="D34" s="25" t="s">
        <v>175</v>
      </c>
      <c r="E34" s="25" t="s">
        <v>92</v>
      </c>
      <c r="F34" s="25" t="s">
        <v>92</v>
      </c>
      <c r="G34" s="53" t="s">
        <v>74</v>
      </c>
      <c r="H34" s="20" t="s">
        <v>92</v>
      </c>
      <c r="I34" s="25">
        <v>0.0</v>
      </c>
      <c r="J34" s="25" t="s">
        <v>93</v>
      </c>
      <c r="K34" s="25" t="s">
        <v>37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K2"/>
  </mergeCells>
  <printOptions/>
  <pageMargins bottom="1.0" footer="0.0" header="0.0" left="0.75" right="0.75" top="1.0"/>
  <pageSetup paperSize="9" orientation="portrait"/>
  <drawing r:id="rId1"/>
</worksheet>
</file>