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📌 คู่มือใช้งาน" sheetId="1" state="visible" r:id="rId1"/>
    <sheet xmlns:r="http://schemas.openxmlformats.org/officeDocument/2006/relationships" name="📋 TEMPLATE — PT" sheetId="2" state="visible" r:id="rId2"/>
    <sheet xmlns:r="http://schemas.openxmlformats.org/officeDocument/2006/relationships" name="📋 TEMPLATE — QCMD" sheetId="3" state="visible" r:id="rId3"/>
    <sheet xmlns:r="http://schemas.openxmlformats.org/officeDocument/2006/relationships" name="📊 สรุปภาพรวม EQA" sheetId="4" state="visible" r:id="rId4"/>
    <sheet xmlns:r="http://schemas.openxmlformats.org/officeDocument/2006/relationships" name="🏆 Certificate QCMD" sheetId="5" state="visible" r:id="rId5"/>
    <sheet xmlns:r="http://schemas.openxmlformats.org/officeDocument/2006/relationships" name="📖 เกณฑ์การแปลผ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000000"/>
      <sz val="10"/>
    </font>
    <font>
      <name val="Calibri"/>
      <i val="1"/>
      <color rgb="00595959"/>
      <sz val="10"/>
    </font>
    <font>
      <name val="Calibri"/>
      <b val="1"/>
      <color rgb="00000000"/>
      <sz val="10"/>
    </font>
    <font>
      <name val="Calibri"/>
      <b val="1"/>
      <color rgb="001F4E79"/>
      <sz val="10"/>
    </font>
    <font>
      <name val="Calibri"/>
      <i val="1"/>
      <color rgb="007F4700"/>
      <sz val="9"/>
    </font>
    <font>
      <name val="Calibri"/>
      <b val="1"/>
      <color rgb="00FFFFFF"/>
      <sz val="11"/>
    </font>
    <font>
      <name val="Calibri"/>
      <color rgb="001F4E79"/>
      <sz val="10"/>
    </font>
    <font>
      <name val="Calibri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i val="1"/>
      <color rgb="007F4700"/>
      <sz val="10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E6"/>
      </patternFill>
    </fill>
    <fill>
      <patternFill patternType="solid">
        <fgColor rgb="00D6E4F7"/>
      </patternFill>
    </fill>
    <fill>
      <patternFill patternType="solid">
        <fgColor rgb="00FFFDE7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5F5F5"/>
      </patternFill>
    </fill>
    <fill>
      <patternFill patternType="solid">
        <fgColor rgb="00203864"/>
      </patternFill>
    </fill>
    <fill>
      <patternFill patternType="solid">
        <fgColor rgb="00D9E1F2"/>
      </patternFill>
    </fill>
    <fill>
      <patternFill patternType="solid">
        <fgColor rgb="00375E9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2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" fillId="9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b val="1"/>
        <color rgb="007F6000"/>
      </font>
      <fill>
        <patternFill patternType="solid">
          <fgColor rgb="00FFEB9C"/>
        </patternFill>
      </fill>
    </dxf>
    <dxf>
      <font>
        <name val="Calibri"/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26" customHeight="1">
      <c r="A1" s="1" t="inlineStr">
        <is>
          <t>📌 คู่มือใช้งาน Template EQA HIV-1 Viral Load</t>
        </is>
      </c>
    </row>
    <row r="2">
      <c r="A2" s="2" t="inlineStr"/>
      <c r="B2" s="3" t="inlineStr"/>
    </row>
    <row r="3" ht="18" customHeight="1">
      <c r="A3" s="4" t="inlineStr">
        <is>
          <t>🎯 วัตถุประสงค์</t>
        </is>
      </c>
      <c r="B3" s="2" t="inlineStr">
        <is>
          <t>Template นี้ใช้สำหรับบันทึกผลการประเมิน EQA HIV-1 Viral Load ทั้ง 2 แหล่ง</t>
        </is>
      </c>
    </row>
    <row r="4">
      <c r="A4" s="2" t="inlineStr"/>
      <c r="B4" s="3" t="inlineStr"/>
    </row>
    <row r="5" ht="18" customHeight="1">
      <c r="A5" s="4" t="inlineStr">
        <is>
          <t>📋 Sheet PT (สวส.)</t>
        </is>
      </c>
      <c r="B5" s="2" t="inlineStr">
        <is>
          <t>สำหรับผล EQA จากสถาบันวิจัยวิทยาศาสตร์สาธารณสุข</t>
        </is>
      </c>
    </row>
    <row r="6" ht="18" customHeight="1">
      <c r="A6" s="4" t="inlineStr">
        <is>
          <t>📋 Sheet QCMD</t>
        </is>
      </c>
      <c r="B6" s="2" t="inlineStr">
        <is>
          <t>สำหรับผล EQA จาก QCMD (Glasgow)</t>
        </is>
      </c>
    </row>
    <row r="7" ht="18" customHeight="1">
      <c r="A7" s="2" t="inlineStr">
        <is>
          <t>🏆 Sheet Certificate</t>
        </is>
      </c>
      <c r="B7" s="2" t="inlineStr">
        <is>
          <t>วางรูปหรือข้อมูลใบรับรอง QCMD</t>
        </is>
      </c>
    </row>
    <row r="8" ht="18" customHeight="1">
      <c r="A8" s="4" t="inlineStr">
        <is>
          <t>📊 Sheet Summary</t>
        </is>
      </c>
      <c r="B8" s="2" t="inlineStr">
        <is>
          <t>อัปเดตผลสรุปรายปีโดยคัดลอกจาก Sheet รายรอบ</t>
        </is>
      </c>
    </row>
    <row r="9">
      <c r="A9" s="2" t="inlineStr"/>
      <c r="B9" s="3" t="inlineStr"/>
    </row>
    <row r="10" ht="18" customHeight="1">
      <c r="A10" s="2" t="inlineStr">
        <is>
          <t>🟡 เซลล์สีเหลืองอ่อน</t>
        </is>
      </c>
      <c r="B10" s="2">
        <f> กรอกข้อมูลด้วยตัวเอง (Input)</f>
        <v/>
      </c>
    </row>
    <row r="11" ht="18" customHeight="1">
      <c r="A11" s="2" t="inlineStr">
        <is>
          <t>⬜ เซลล์สีเทา</t>
        </is>
      </c>
      <c r="B11" s="2">
        <f> สูตรคำนวณอัตโนมัติ ห้ามแก้ไข</f>
        <v/>
      </c>
    </row>
    <row r="12" ht="18" customHeight="1">
      <c r="A12" s="2" t="inlineStr">
        <is>
          <t>🟢 z ≤ 2.00</t>
        </is>
      </c>
      <c r="B12" s="2">
        <f> ✅ ยอมรับ</f>
        <v/>
      </c>
    </row>
    <row r="13" ht="18" customHeight="1">
      <c r="A13" s="2" t="inlineStr">
        <is>
          <t>🟡 2.00 &lt; z &lt; 3.00</t>
        </is>
      </c>
      <c r="B13" s="2">
        <f> ⚠️ เฝ้าระวัง</f>
        <v/>
      </c>
    </row>
    <row r="14" ht="18" customHeight="1">
      <c r="A14" s="2" t="inlineStr">
        <is>
          <t>🔴 z ≥ 3.00</t>
        </is>
      </c>
      <c r="B14" s="2">
        <f> ❌ ออกนอกเกณฑ์</f>
        <v/>
      </c>
    </row>
    <row r="15">
      <c r="A15" s="2" t="inlineStr"/>
      <c r="B15" s="3" t="inlineStr"/>
    </row>
    <row r="16" ht="18" customHeight="1">
      <c r="A16" s="5" t="inlineStr">
        <is>
          <t>📝 ขั้นตอนการใช้งาน (PT/สวส.)</t>
        </is>
      </c>
      <c r="B16" s="2" t="inlineStr"/>
    </row>
    <row r="17">
      <c r="A17" s="2" t="inlineStr">
        <is>
          <t>1.</t>
        </is>
      </c>
      <c r="B17" s="2" t="inlineStr">
        <is>
          <t>คัดลอก Sheet '📋 TEMPLATE — PT' แล้วเปลี่ยนชื่อเป็น 'PT C1-25xx' เป็นต้น</t>
        </is>
      </c>
    </row>
    <row r="18">
      <c r="A18" s="2" t="inlineStr">
        <is>
          <t>2.</t>
        </is>
      </c>
      <c r="B18" s="2" t="inlineStr">
        <is>
          <t>กรอกข้อมูลในเซลล์สีเหลือง: ปี, ครั้งที่, รหัสสมาชิก, ชุดตรวจ</t>
        </is>
      </c>
    </row>
    <row r="19">
      <c r="A19" s="2" t="inlineStr">
        <is>
          <t>3.</t>
        </is>
      </c>
      <c r="B19" s="2" t="inlineStr">
        <is>
          <t>กรอกผล Log (copies/ml) ของแต่ละตัวอย่าง</t>
        </is>
      </c>
    </row>
    <row r="20">
      <c r="A20" s="2" t="inlineStr">
        <is>
          <t>4.</t>
        </is>
      </c>
      <c r="B20" s="2" t="inlineStr">
        <is>
          <t>z-score และผลการแปลจะคำนวณอัตโนมัติ</t>
        </is>
      </c>
    </row>
    <row r="21">
      <c r="A21" s="2" t="inlineStr">
        <is>
          <t>5.</t>
        </is>
      </c>
      <c r="B21" s="2" t="inlineStr">
        <is>
          <t>คัดลอกผลสรุปไปยัง Sheet '📊 สรุปภาพรวม'</t>
        </is>
      </c>
    </row>
    <row r="22">
      <c r="A22" s="2" t="inlineStr"/>
      <c r="B22" s="3" t="inlineStr"/>
    </row>
    <row r="23" ht="18" customHeight="1">
      <c r="A23" s="5" t="inlineStr">
        <is>
          <t>📝 ขั้นตอนการใช้งาน (QCMD)</t>
        </is>
      </c>
      <c r="B23" s="2" t="inlineStr"/>
    </row>
    <row r="24">
      <c r="A24" s="2" t="inlineStr">
        <is>
          <t>1.</t>
        </is>
      </c>
      <c r="B24" s="2" t="inlineStr">
        <is>
          <t>คัดลอก Sheet '📋 TEMPLATE — QCMD' แล้วเปลี่ยนชื่อ</t>
        </is>
      </c>
    </row>
    <row r="25">
      <c r="A25" s="2" t="inlineStr">
        <is>
          <t>2.</t>
        </is>
      </c>
      <c r="B25" s="2" t="inlineStr">
        <is>
          <t>กรอก Issue Date, Ref Code, Challenge, EQA Group</t>
        </is>
      </c>
    </row>
    <row r="26">
      <c r="A26" s="2" t="inlineStr">
        <is>
          <t>3.</t>
        </is>
      </c>
      <c r="B26" s="2" t="inlineStr">
        <is>
          <t>กรอก Consensus, SD, Your Result สำหรับแต่ละตัวอย่าง</t>
        </is>
      </c>
    </row>
    <row r="27">
      <c r="A27" s="2" t="inlineStr">
        <is>
          <t>4.</t>
        </is>
      </c>
      <c r="B27" s="2" t="inlineStr">
        <is>
          <t>Estimation Score และการแปลผลจะคำนวณอัตโนมัติ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2" customWidth="1" min="5" max="5"/>
    <col width="18" customWidth="1" min="6" max="6"/>
    <col width="14" customWidth="1" min="7" max="7"/>
    <col width="18" customWidth="1" min="8" max="8"/>
  </cols>
  <sheetData>
    <row r="1" ht="26" customHeight="1">
      <c r="A1" s="1" t="inlineStr">
        <is>
          <t>ผลการประเมิน EQA HIV-1 Viral Load — [กรอกครั้งที่และปี]  (PT/สวส.)</t>
        </is>
      </c>
    </row>
    <row r="2">
      <c r="A2" s="6" t="inlineStr">
        <is>
          <t>🟡 กรอกข้อมูลในเซลล์สีเหลือง | ⬜ เซลล์สีเทา = คำนวณอัตโนมัติ ห้ามแก้ไข</t>
        </is>
      </c>
    </row>
    <row r="3">
      <c r="A3" s="7" t="inlineStr">
        <is>
          <t>วันที่ออกรายงาน:</t>
        </is>
      </c>
      <c r="B3" s="8" t="inlineStr"/>
      <c r="C3" s="9" t="inlineStr"/>
    </row>
    <row r="4">
      <c r="A4" s="7" t="inlineStr">
        <is>
          <t>เลขรายงาน:</t>
        </is>
      </c>
      <c r="B4" s="8" t="inlineStr"/>
      <c r="C4" s="9" t="inlineStr"/>
    </row>
    <row r="5">
      <c r="A5" s="7" t="inlineStr">
        <is>
          <t>รหัสสมาชิก:</t>
        </is>
      </c>
      <c r="B5" s="8" t="inlineStr"/>
      <c r="C5" s="9" t="inlineStr"/>
    </row>
    <row r="6">
      <c r="A6" s="7" t="inlineStr">
        <is>
          <t>ชุดตรวจ:</t>
        </is>
      </c>
      <c r="B6" s="8" t="inlineStr">
        <is>
          <t>Cobas HIV-1</t>
        </is>
      </c>
      <c r="C6" s="9" t="inlineStr"/>
    </row>
    <row r="7">
      <c r="A7" s="7" t="inlineStr">
        <is>
          <t>หมายเหตุ:</t>
        </is>
      </c>
      <c r="B7" s="8" t="inlineStr"/>
      <c r="C7" s="9" t="inlineStr"/>
    </row>
    <row r="9">
      <c r="A9" s="10" t="inlineStr">
        <is>
          <t>📊 ผลความแม่น (Accuracy)</t>
        </is>
      </c>
    </row>
    <row r="10" ht="36" customHeight="1">
      <c r="A10" s="11" t="inlineStr">
        <is>
          <t>รหัสตัวอย่าง</t>
        </is>
      </c>
      <c r="B10" s="11" t="inlineStr">
        <is>
          <t>ค่ากำหนด Xpt
(Log₁₀)</t>
        </is>
      </c>
      <c r="C10" s="11" t="inlineStr">
        <is>
          <t>ผลทดสอบ
(Log₁₀)</t>
        </is>
      </c>
      <c r="D10" s="11" t="inlineStr">
        <is>
          <t>copies/mL</t>
        </is>
      </c>
      <c r="E10" s="11" t="inlineStr">
        <is>
          <t>Z-score</t>
        </is>
      </c>
      <c r="F10" s="11" t="inlineStr">
        <is>
          <t>ผลการแปล</t>
        </is>
      </c>
    </row>
    <row r="11">
      <c r="A11" s="8" t="inlineStr">
        <is>
          <t>ตัวอย่าง 1</t>
        </is>
      </c>
      <c r="B11" s="12" t="inlineStr"/>
      <c r="C11" s="12" t="inlineStr"/>
      <c r="D11" s="13" t="inlineStr"/>
      <c r="E11" s="14">
        <f>IF(OR(C11="",B11=""),"",ROUND((C11-B11)/0.17,2))</f>
        <v/>
      </c>
      <c r="F11" s="15">
        <f>IF(E11="","",IF(ABS(E11)&lt;=2,"✅ ยอมรับ",IF(ABS(E11)&lt;3,"⚠️ เฝ้าระวัง","❌ ออกนอกเกณฑ์")))</f>
        <v/>
      </c>
    </row>
    <row r="12">
      <c r="A12" s="8" t="inlineStr">
        <is>
          <t>ตัวอย่าง 2</t>
        </is>
      </c>
      <c r="B12" s="12" t="inlineStr"/>
      <c r="C12" s="12" t="inlineStr"/>
      <c r="D12" s="13" t="inlineStr"/>
      <c r="E12" s="14">
        <f>IF(OR(C12="",B12=""),"",ROUND((C12-B12)/0.17,2))</f>
        <v/>
      </c>
      <c r="F12" s="15">
        <f>IF(E12="","",IF(ABS(E12)&lt;=2,"✅ ยอมรับ",IF(ABS(E12)&lt;3,"⚠️ เฝ้าระวัง","❌ ออกนอกเกณฑ์")))</f>
        <v/>
      </c>
    </row>
    <row r="13">
      <c r="A13" s="8" t="inlineStr">
        <is>
          <t>ตัวอย่าง 3</t>
        </is>
      </c>
      <c r="B13" s="12" t="inlineStr"/>
      <c r="C13" s="12" t="inlineStr"/>
      <c r="D13" s="13" t="inlineStr"/>
      <c r="E13" s="14">
        <f>IF(OR(C13="",B13=""),"",ROUND((C13-B13)/0.17,2))</f>
        <v/>
      </c>
      <c r="F13" s="15">
        <f>IF(E13="","",IF(ABS(E13)&lt;=2,"✅ ยอมรับ",IF(ABS(E13)&lt;3,"⚠️ เฝ้าระวัง","❌ ออกนอกเกณฑ์")))</f>
        <v/>
      </c>
    </row>
    <row r="14">
      <c r="A14" s="8" t="inlineStr">
        <is>
          <t>ตัวอย่าง 4</t>
        </is>
      </c>
      <c r="B14" s="12" t="inlineStr"/>
      <c r="C14" s="12" t="inlineStr"/>
      <c r="D14" s="13" t="inlineStr"/>
      <c r="E14" s="14">
        <f>IF(OR(C14="",B14=""),"",ROUND((C14-B14)/0.17,2))</f>
        <v/>
      </c>
      <c r="F14" s="15">
        <f>IF(E14="","",IF(ABS(E14)&lt;=2,"✅ ยอมรับ",IF(ABS(E14)&lt;3,"⚠️ เฝ้าระวัง","❌ ออกนอกเกณฑ์")))</f>
        <v/>
      </c>
    </row>
    <row r="16">
      <c r="A16" s="10" t="inlineStr">
        <is>
          <t>📐 ผลความเที่ยง (Precision)</t>
        </is>
      </c>
    </row>
    <row r="17">
      <c r="A17" s="7" t="inlineStr">
        <is>
          <t>ตัวอย่างอ้างอิง:</t>
        </is>
      </c>
      <c r="B17" s="8" t="inlineStr"/>
    </row>
    <row r="18">
      <c r="A18" s="7" t="inlineStr">
        <is>
          <t>Between-lab z-score</t>
        </is>
      </c>
      <c r="B18" s="12" t="inlineStr"/>
      <c r="C18" s="15">
        <f>IF(B18="","",IF(ABS(B18)&lt;=2,"✅ ยอมรับ",IF(ABS(B18)&lt;3,"⚠️ เฝ้าระวัง","❌ ออกนอกเกณฑ์")))</f>
        <v/>
      </c>
    </row>
    <row r="19">
      <c r="A19" s="7" t="inlineStr">
        <is>
          <t>Within-lab z-score</t>
        </is>
      </c>
      <c r="B19" s="12" t="inlineStr"/>
      <c r="C19" s="15">
        <f>IF(B19="","",IF(ABS(B19)&lt;=2,"✅ ยอมรับ",IF(ABS(B19)&lt;3,"⚠️ เฝ้าระวัง","❌ ออกนอกเกณฑ์")))</f>
        <v/>
      </c>
    </row>
    <row r="21">
      <c r="A21" s="7" t="inlineStr">
        <is>
          <t>คะแนนรวม (เต็ม 20):</t>
        </is>
      </c>
      <c r="B21" s="16" t="inlineStr"/>
    </row>
    <row r="23">
      <c r="A23" s="17" t="inlineStr">
        <is>
          <t>สูตร z-score: (ผลทดสอบ − Xpt) / σpt  โดย σpt = 0.17  |  เกณฑ์: |z|≤2 ยอมรับ | 2&lt;|z|&lt;3 เฝ้าระวัง | |z|≥3 ออกนอกเกณฑ์</t>
        </is>
      </c>
    </row>
  </sheetData>
  <mergeCells count="10">
    <mergeCell ref="A9:H9"/>
    <mergeCell ref="A23:H23"/>
    <mergeCell ref="C5:E5"/>
    <mergeCell ref="A2:H2"/>
    <mergeCell ref="A16:H16"/>
    <mergeCell ref="C4:E4"/>
    <mergeCell ref="C3:E3"/>
    <mergeCell ref="A1:H1"/>
    <mergeCell ref="C7:E7"/>
    <mergeCell ref="C6:E6"/>
  </mergeCells>
  <conditionalFormatting sqref="E11:E14">
    <cfRule type="cellIs" priority="1" operator="between" dxfId="0">
      <formula>2.001</formula>
      <formula>2.999</formula>
    </cfRule>
    <cfRule type="cellIs" priority="2" operator="greaterThanOrEqual" dxfId="1">
      <formula>3</formula>
    </cfRule>
    <cfRule type="cellIs" priority="3" operator="lessThanOrEqual" dxfId="1">
      <formula>-3</formula>
    </cfRule>
    <cfRule type="cellIs" priority="4" operator="between" dxfId="0">
      <formula>-2.999</formula>
      <formula>-2.001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E97"/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0" customWidth="1" min="4" max="4"/>
    <col width="16" customWidth="1" min="5" max="5"/>
    <col width="14" customWidth="1" min="6" max="6"/>
    <col width="22" customWidth="1" min="7" max="7"/>
    <col width="16" customWidth="1" min="8" max="8"/>
  </cols>
  <sheetData>
    <row r="1" ht="26" customHeight="1">
      <c r="A1" s="18" t="inlineStr">
        <is>
          <t>ผลการประเมิน QCMD HIV RNA EQA — [ระบุปีและ Challenge]</t>
        </is>
      </c>
    </row>
    <row r="2">
      <c r="A2" s="6" t="inlineStr">
        <is>
          <t>🟡 กรอกข้อมูลในเซลล์สีเหลือง | ⬜ เซลล์สีเทา = คำนวณอัตโนมัติ ห้ามแก้ไข</t>
        </is>
      </c>
    </row>
    <row r="3">
      <c r="A3" s="19" t="inlineStr">
        <is>
          <t>วันที่ออกรายงาน (Issue Date):</t>
        </is>
      </c>
      <c r="B3" s="8" t="inlineStr"/>
      <c r="C3" s="9" t="inlineStr"/>
    </row>
    <row r="4">
      <c r="A4" s="19" t="inlineStr">
        <is>
          <t>Ref Code / Challenge:</t>
        </is>
      </c>
      <c r="B4" s="8" t="inlineStr">
        <is>
          <t>HIVRNA__ / C_</t>
        </is>
      </c>
      <c r="C4" s="9" t="inlineStr"/>
    </row>
    <row r="5">
      <c r="A5" s="19" t="inlineStr">
        <is>
          <t>Laboratory ID:</t>
        </is>
      </c>
      <c r="B5" s="8" t="inlineStr">
        <is>
          <t>TH193</t>
        </is>
      </c>
      <c r="C5" s="9" t="inlineStr"/>
    </row>
    <row r="6">
      <c r="A6" s="19" t="inlineStr">
        <is>
          <t>EQA Assessment Group:</t>
        </is>
      </c>
      <c r="B6" s="8" t="inlineStr">
        <is>
          <t>Roche Cobas 5800/6800/8800</t>
        </is>
      </c>
      <c r="C6" s="9" t="inlineStr"/>
    </row>
    <row r="7">
      <c r="A7" s="19" t="inlineStr">
        <is>
          <t>หมายเหตุ:</t>
        </is>
      </c>
      <c r="B7" s="8" t="inlineStr"/>
      <c r="C7" s="9" t="inlineStr"/>
    </row>
    <row r="9">
      <c r="A9" s="20" t="inlineStr">
        <is>
          <t>📊 ผลคะแนนรวม (Summary Scores)</t>
        </is>
      </c>
    </row>
    <row r="10">
      <c r="A10" s="21" t="inlineStr">
        <is>
          <t>Core Detection Score (Qualitative):</t>
        </is>
      </c>
      <c r="B10" s="22" t="inlineStr">
        <is>
          <t>N/A</t>
        </is>
      </c>
      <c r="D10" s="21" t="inlineStr">
        <is>
          <t>Core Estimation Score (Quantitative):</t>
        </is>
      </c>
      <c r="E10" s="16" t="inlineStr"/>
      <c r="F10" s="23">
        <f>IF(E10="","",IF(E10=0,"✅ ดีเยี่ยม (≤1 SD)",IF(E10=1,"✅ ยอมรับ (1–2 SD)",IF(E10=2,"⚠️ เฝ้าระวัง (2–3 SD)","❌ ไม่ผ่าน (&gt;3 SD)"))))</f>
        <v/>
      </c>
    </row>
    <row r="12">
      <c r="A12" s="20" t="inlineStr">
        <is>
          <t>📋 ผลการทดสอบตัวอย่าง (Panel Results)</t>
        </is>
      </c>
    </row>
    <row r="13" ht="36" customHeight="1">
      <c r="A13" s="11" t="inlineStr">
        <is>
          <t>Sample Code</t>
        </is>
      </c>
      <c r="B13" s="11" t="inlineStr">
        <is>
          <t>Status
(CORE/EDU)</t>
        </is>
      </c>
      <c r="C13" s="11" t="inlineStr">
        <is>
          <t>Consensus
(Log₁₀)</t>
        </is>
      </c>
      <c r="D13" s="11" t="inlineStr">
        <is>
          <t>SD</t>
        </is>
      </c>
      <c r="E13" s="11" t="inlineStr">
        <is>
          <t>Your Result
(Log₁₀)</t>
        </is>
      </c>
      <c r="F13" s="11" t="inlineStr">
        <is>
          <t>Est. Score</t>
        </is>
      </c>
      <c r="G13" s="11" t="inlineStr">
        <is>
          <t>การแปลผล</t>
        </is>
      </c>
      <c r="H13" s="11" t="inlineStr">
        <is>
          <t>หมายเหตุ</t>
        </is>
      </c>
    </row>
    <row r="14">
      <c r="A14" s="8" t="inlineStr">
        <is>
          <t>ตัวอย่าง 1</t>
        </is>
      </c>
      <c r="B14" s="13" t="inlineStr">
        <is>
          <t>CORE</t>
        </is>
      </c>
      <c r="C14" s="24" t="inlineStr"/>
      <c r="D14" s="24" t="inlineStr"/>
      <c r="E14" s="24" t="inlineStr"/>
      <c r="F14" s="25">
        <f>IF(OR(E14="",C14="",D14="",B14="EDUCATIONAL"),"—",MIN(3,INT(ABS(E14-C14)/D14)))</f>
        <v/>
      </c>
      <c r="G14" s="15">
        <f>IF(F14="—","—",IF(F14=0,"✅ ดีเยี่ยม (≤1 SD)",IF(F14=1,"✅ ยอมรับ (1–2 SD)",IF(F14=2,"⚠️ เฝ้าระวัง (2–3 SD)","❌ ไม่ผ่าน (&gt;3 SD)"))))</f>
        <v/>
      </c>
      <c r="H14" s="26" t="inlineStr"/>
    </row>
    <row r="15">
      <c r="A15" s="8" t="inlineStr">
        <is>
          <t>ตัวอย่าง 2</t>
        </is>
      </c>
      <c r="B15" s="13" t="inlineStr">
        <is>
          <t>CORE</t>
        </is>
      </c>
      <c r="C15" s="24" t="inlineStr"/>
      <c r="D15" s="24" t="inlineStr"/>
      <c r="E15" s="24" t="inlineStr"/>
      <c r="F15" s="25">
        <f>IF(OR(E15="",C15="",D15="",B15="EDUCATIONAL"),"—",MIN(3,INT(ABS(E15-C15)/D15)))</f>
        <v/>
      </c>
      <c r="G15" s="15">
        <f>IF(F15="—","—",IF(F15=0,"✅ ดีเยี่ยม (≤1 SD)",IF(F15=1,"✅ ยอมรับ (1–2 SD)",IF(F15=2,"⚠️ เฝ้าระวัง (2–3 SD)","❌ ไม่ผ่าน (&gt;3 SD)"))))</f>
        <v/>
      </c>
      <c r="H15" s="27" t="inlineStr"/>
    </row>
    <row r="16">
      <c r="A16" s="8" t="inlineStr">
        <is>
          <t>ตัวอย่าง 3</t>
        </is>
      </c>
      <c r="B16" s="13" t="inlineStr">
        <is>
          <t>CORE</t>
        </is>
      </c>
      <c r="C16" s="24" t="inlineStr"/>
      <c r="D16" s="24" t="inlineStr"/>
      <c r="E16" s="24" t="inlineStr"/>
      <c r="F16" s="25">
        <f>IF(OR(E16="",C16="",D16="",B16="EDUCATIONAL"),"—",MIN(3,INT(ABS(E16-C16)/D16)))</f>
        <v/>
      </c>
      <c r="G16" s="15">
        <f>IF(F16="—","—",IF(F16=0,"✅ ดีเยี่ยม (≤1 SD)",IF(F16=1,"✅ ยอมรับ (1–2 SD)",IF(F16=2,"⚠️ เฝ้าระวัง (2–3 SD)","❌ ไม่ผ่าน (&gt;3 SD)"))))</f>
        <v/>
      </c>
      <c r="H16" s="26" t="inlineStr"/>
    </row>
    <row r="17">
      <c r="A17" s="8" t="inlineStr">
        <is>
          <t>ตัวอย่าง 4</t>
        </is>
      </c>
      <c r="B17" s="13" t="inlineStr">
        <is>
          <t>CORE</t>
        </is>
      </c>
      <c r="C17" s="24" t="inlineStr"/>
      <c r="D17" s="24" t="inlineStr"/>
      <c r="E17" s="24" t="inlineStr"/>
      <c r="F17" s="25">
        <f>IF(OR(E17="",C17="",D17="",B17="EDUCATIONAL"),"—",MIN(3,INT(ABS(E17-C17)/D17)))</f>
        <v/>
      </c>
      <c r="G17" s="15">
        <f>IF(F17="—","—",IF(F17=0,"✅ ดีเยี่ยม (≤1 SD)",IF(F17=1,"✅ ยอมรับ (1–2 SD)",IF(F17=2,"⚠️ เฝ้าระวัง (2–3 SD)","❌ ไม่ผ่าน (&gt;3 SD)"))))</f>
        <v/>
      </c>
      <c r="H17" s="27" t="inlineStr"/>
    </row>
    <row r="19">
      <c r="A19" s="17" t="inlineStr">
        <is>
          <t>QCMD Estimation Score: 0 = ดีเยี่ยม(≤1SD) | 1 = ยอมรับ(1–2SD) | 2 = เฝ้าระวัง(2–3SD) | 3 = ไม่ผ่าน(&gt;3SD)</t>
        </is>
      </c>
    </row>
  </sheetData>
  <mergeCells count="10">
    <mergeCell ref="A9:H9"/>
    <mergeCell ref="A12:H12"/>
    <mergeCell ref="C5:E5"/>
    <mergeCell ref="A2:H2"/>
    <mergeCell ref="C4:E4"/>
    <mergeCell ref="C3:E3"/>
    <mergeCell ref="A19:H19"/>
    <mergeCell ref="A1:H1"/>
    <mergeCell ref="C7:E7"/>
    <mergeCell ref="C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 ht="28" customHeight="1">
      <c r="A1" s="28" t="inlineStr">
        <is>
          <t>สรุปผลการประเมิน EQA — HIV-1 Viral Load · โรงพยาบาลพระจอมเกล้า เพชรบุรี</t>
        </is>
      </c>
    </row>
    <row r="3">
      <c r="A3" s="29" t="inlineStr">
        <is>
          <t>🏛️  PT — สถาบันวิจัยวิทยาศาสตร์สาธารณสุข (สวส.) กรมวิทยาศาสตร์การแพทย์</t>
        </is>
      </c>
    </row>
    <row r="4">
      <c r="A4" s="30" t="inlineStr">
        <is>
          <t>เกณฑ์: ISO 13528:2022 | σpt = 0.17 | |z| ≤ 2.00 = ยอมรับ | 2.00 &lt; |z| &lt; 3.00 = เฝ้าระวัง | |z| ≥ 3.00 = ออกนอกเกณฑ์</t>
        </is>
      </c>
    </row>
    <row r="5" ht="30" customHeight="1">
      <c r="A5" s="11" t="inlineStr">
        <is>
          <t>รอบการประเมิน</t>
        </is>
      </c>
      <c r="B5" s="11" t="inlineStr">
        <is>
          <t>วันที่ออกรายงาน</t>
        </is>
      </c>
      <c r="C5" s="11" t="inlineStr">
        <is>
          <t>รหัสสมาชิก</t>
        </is>
      </c>
      <c r="D5" s="11" t="inlineStr">
        <is>
          <t>z-1</t>
        </is>
      </c>
      <c r="E5" s="11" t="inlineStr">
        <is>
          <t>z-2</t>
        </is>
      </c>
      <c r="F5" s="11" t="inlineStr">
        <is>
          <t>z-3</t>
        </is>
      </c>
      <c r="G5" s="11" t="inlineStr">
        <is>
          <t>z-4</t>
        </is>
      </c>
      <c r="H5" s="11" t="inlineStr">
        <is>
          <t>Between-lab z</t>
        </is>
      </c>
      <c r="I5" s="11" t="inlineStr">
        <is>
          <t>Within-lab z</t>
        </is>
      </c>
      <c r="J5" s="11" t="inlineStr">
        <is>
          <t>คะแนน / สรุป</t>
        </is>
      </c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</row>
    <row r="7">
      <c r="A7" s="13" t="inlineStr"/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</row>
    <row r="8">
      <c r="A8" s="13" t="inlineStr"/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</row>
    <row r="9">
      <c r="A9" s="13" t="inlineStr"/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</row>
    <row r="10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</row>
    <row r="11">
      <c r="A11" s="13" t="inlineStr"/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</row>
    <row r="12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</row>
    <row r="13">
      <c r="A13" s="13" t="inlineStr"/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</row>
    <row r="14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</row>
    <row r="15">
      <c r="A15" s="13" t="inlineStr"/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</row>
    <row r="18">
      <c r="A18" s="31" t="inlineStr">
        <is>
          <t>🌐  QCMD — Quality Control for Molecular Diagnostics (Glasgow, UK) | Lab ID: TH193</t>
        </is>
      </c>
    </row>
    <row r="19">
      <c r="A19" s="30" t="inlineStr">
        <is>
          <t>เกณฑ์: Estimation Score — 0=ดีเยี่ยม(≤1SD) | 1=ยอมรับ(1–2SD) | 2=เฝ้าระวัง(2–3SD) | 3=ไม่ผ่าน(&gt;3SD)</t>
        </is>
      </c>
    </row>
    <row r="20" ht="30" customHeight="1">
      <c r="A20" s="11" t="inlineStr">
        <is>
          <t>รอบการประเมิน</t>
        </is>
      </c>
      <c r="B20" s="11" t="inlineStr">
        <is>
          <t>วันที่ออกรายงาน</t>
        </is>
      </c>
      <c r="C20" s="11" t="inlineStr">
        <is>
          <t>EQA Assessment Group</t>
        </is>
      </c>
      <c r="D20" s="11" t="inlineStr">
        <is>
          <t>Quantitative
Score</t>
        </is>
      </c>
      <c r="E20" s="32" t="inlineStr"/>
      <c r="J20" s="11" t="inlineStr">
        <is>
          <t>การแปลผล / สรุป</t>
        </is>
      </c>
    </row>
    <row r="21">
      <c r="A21" s="13" t="inlineStr"/>
      <c r="B21" s="13" t="inlineStr"/>
      <c r="C21" s="13" t="inlineStr"/>
      <c r="D21" s="13" t="inlineStr"/>
      <c r="E21" s="9" t="inlineStr"/>
      <c r="J21" s="13" t="inlineStr"/>
    </row>
    <row r="22">
      <c r="A22" s="13" t="inlineStr"/>
      <c r="B22" s="13" t="inlineStr"/>
      <c r="C22" s="13" t="inlineStr"/>
      <c r="D22" s="13" t="inlineStr"/>
      <c r="E22" s="9" t="inlineStr"/>
      <c r="J22" s="13" t="inlineStr"/>
    </row>
    <row r="23">
      <c r="A23" s="13" t="inlineStr"/>
      <c r="B23" s="13" t="inlineStr"/>
      <c r="C23" s="13" t="inlineStr"/>
      <c r="D23" s="13" t="inlineStr"/>
      <c r="E23" s="9" t="inlineStr"/>
      <c r="J23" s="13" t="inlineStr"/>
    </row>
    <row r="24">
      <c r="A24" s="13" t="inlineStr"/>
      <c r="B24" s="13" t="inlineStr"/>
      <c r="C24" s="13" t="inlineStr"/>
      <c r="D24" s="13" t="inlineStr"/>
      <c r="E24" s="9" t="inlineStr"/>
      <c r="J24" s="13" t="inlineStr"/>
    </row>
    <row r="25">
      <c r="A25" s="13" t="inlineStr"/>
      <c r="B25" s="13" t="inlineStr"/>
      <c r="C25" s="13" t="inlineStr"/>
      <c r="D25" s="13" t="inlineStr"/>
      <c r="E25" s="9" t="inlineStr"/>
      <c r="J25" s="13" t="inlineStr"/>
    </row>
    <row r="26">
      <c r="A26" s="13" t="inlineStr"/>
      <c r="B26" s="13" t="inlineStr"/>
      <c r="C26" s="13" t="inlineStr"/>
      <c r="D26" s="13" t="inlineStr"/>
      <c r="E26" s="9" t="inlineStr"/>
      <c r="J26" s="13" t="inlineStr"/>
    </row>
    <row r="27">
      <c r="A27" s="13" t="inlineStr"/>
      <c r="B27" s="13" t="inlineStr"/>
      <c r="C27" s="13" t="inlineStr"/>
      <c r="D27" s="13" t="inlineStr"/>
      <c r="E27" s="9" t="inlineStr"/>
      <c r="J27" s="13" t="inlineStr"/>
    </row>
    <row r="28">
      <c r="A28" s="13" t="inlineStr"/>
      <c r="B28" s="13" t="inlineStr"/>
      <c r="C28" s="13" t="inlineStr"/>
      <c r="D28" s="13" t="inlineStr"/>
      <c r="E28" s="9" t="inlineStr"/>
      <c r="J28" s="13" t="inlineStr"/>
    </row>
  </sheetData>
  <mergeCells count="14">
    <mergeCell ref="A1:J1"/>
    <mergeCell ref="E21:I21"/>
    <mergeCell ref="E20:I20"/>
    <mergeCell ref="A18:J18"/>
    <mergeCell ref="E24:I24"/>
    <mergeCell ref="A3:J3"/>
    <mergeCell ref="E25:I25"/>
    <mergeCell ref="E28:I28"/>
    <mergeCell ref="A4:J4"/>
    <mergeCell ref="E27:I27"/>
    <mergeCell ref="E23:I23"/>
    <mergeCell ref="E22:I22"/>
    <mergeCell ref="E26:I26"/>
    <mergeCell ref="A19:J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18" t="inlineStr">
        <is>
          <t>ใบรับรองการเข้าร่วม QCMD HIV RNA EQA Scheme — Laboratory TH193</t>
        </is>
      </c>
    </row>
    <row r="2">
      <c r="A2" s="21" t="inlineStr">
        <is>
          <t>Programme:</t>
        </is>
      </c>
      <c r="B2" s="33" t="inlineStr"/>
    </row>
    <row r="3">
      <c r="A3" s="21" t="inlineStr">
        <is>
          <t>Certificate valid:</t>
        </is>
      </c>
      <c r="B3" s="33" t="inlineStr"/>
    </row>
    <row r="4">
      <c r="A4" s="34" t="inlineStr"/>
      <c r="B4" s="33" t="inlineStr"/>
    </row>
    <row r="5">
      <c r="A5" s="35" t="inlineStr">
        <is>
          <t>📌 วางรูปภาพใบรับรอง: Insert → Pictures → ลากวางในพื้นที่ด้านล่าง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8" customWidth="1" min="3" max="3"/>
    <col width="22" customWidth="1" min="4" max="4"/>
    <col width="28" customWidth="1" min="5" max="5"/>
  </cols>
  <sheetData>
    <row r="1">
      <c r="A1" s="1" t="inlineStr">
        <is>
          <t>📖 เกณฑ์การแปลผล EQA HIV-1 Viral Load</t>
        </is>
      </c>
    </row>
    <row r="3">
      <c r="A3" s="36" t="inlineStr">
        <is>
          <t>สวส./PT — Z-score (ISO 13528:2022 Algorithm A)</t>
        </is>
      </c>
    </row>
    <row r="4">
      <c r="A4" s="37" t="inlineStr">
        <is>
          <t>ระดับ</t>
        </is>
      </c>
      <c r="B4" s="37" t="inlineStr">
        <is>
          <t>ช่วง |z|</t>
        </is>
      </c>
      <c r="C4" s="37" t="inlineStr">
        <is>
          <t>ความหมาย</t>
        </is>
      </c>
      <c r="D4" s="37" t="inlineStr">
        <is>
          <t>คะแนน/ตัวอย่าง</t>
        </is>
      </c>
      <c r="E4" s="37" t="inlineStr">
        <is>
          <t>การดำเนินการ</t>
        </is>
      </c>
    </row>
    <row r="5">
      <c r="A5" s="38" t="inlineStr">
        <is>
          <t>✅ ยอมรับ</t>
        </is>
      </c>
      <c r="B5" s="38" t="inlineStr">
        <is>
          <t>|z| ≤ 2.00</t>
        </is>
      </c>
      <c r="C5" s="38" t="inlineStr">
        <is>
          <t>Acceptable</t>
        </is>
      </c>
      <c r="D5" s="38" t="inlineStr">
        <is>
          <t>3</t>
        </is>
      </c>
      <c r="E5" s="38" t="inlineStr">
        <is>
          <t>ปกติ</t>
        </is>
      </c>
    </row>
    <row r="6">
      <c r="A6" s="39" t="inlineStr">
        <is>
          <t>⚠️ เฝ้าระวัง</t>
        </is>
      </c>
      <c r="B6" s="39" t="inlineStr">
        <is>
          <t>2.00 &lt; |z| &lt; 3.00</t>
        </is>
      </c>
      <c r="C6" s="39" t="inlineStr">
        <is>
          <t>Warning</t>
        </is>
      </c>
      <c r="D6" s="39" t="inlineStr">
        <is>
          <t>2</t>
        </is>
      </c>
      <c r="E6" s="39" t="inlineStr">
        <is>
          <t>ตรวจสอบและติดตาม</t>
        </is>
      </c>
    </row>
    <row r="7">
      <c r="A7" s="40" t="inlineStr">
        <is>
          <t>❌ ออกนอกเกณฑ์</t>
        </is>
      </c>
      <c r="B7" s="40" t="inlineStr">
        <is>
          <t>|z| ≥ 3.00</t>
        </is>
      </c>
      <c r="C7" s="40" t="inlineStr">
        <is>
          <t>Action signal</t>
        </is>
      </c>
      <c r="D7" s="40" t="inlineStr">
        <is>
          <t>1</t>
        </is>
      </c>
      <c r="E7" s="40" t="inlineStr">
        <is>
          <t>วิเคราะห์หาสาเหตุ</t>
        </is>
      </c>
    </row>
    <row r="8">
      <c r="A8" s="17" t="inlineStr">
        <is>
          <t>คะแนนเต็ม 20 = รายงานทันเวลา (2) + ความแม่น 4×3 (12) + ความเที่ยง 2×3 (6)</t>
        </is>
      </c>
    </row>
    <row r="10">
      <c r="A10" s="41" t="inlineStr">
        <is>
          <t>QCMD — Estimation Score Criteria</t>
        </is>
      </c>
    </row>
    <row r="11">
      <c r="A11" s="37" t="inlineStr">
        <is>
          <t>Score</t>
        </is>
      </c>
      <c r="B11" s="37" t="inlineStr">
        <is>
          <t>ช่วง SD</t>
        </is>
      </c>
      <c r="C11" s="37" t="inlineStr">
        <is>
          <t>ความหมาย</t>
        </is>
      </c>
      <c r="D11" s="37" t="inlineStr">
        <is>
          <t>การแปลผล</t>
        </is>
      </c>
      <c r="E11" s="37" t="inlineStr"/>
    </row>
    <row r="12">
      <c r="A12" s="38" t="inlineStr">
        <is>
          <t>0</t>
        </is>
      </c>
      <c r="B12" s="38" t="inlineStr">
        <is>
          <t>≤ 1 SD</t>
        </is>
      </c>
      <c r="C12" s="38" t="inlineStr">
        <is>
          <t>Highly Satisfactory</t>
        </is>
      </c>
      <c r="D12" s="38" t="inlineStr">
        <is>
          <t>✅ ดีเยี่ยม</t>
        </is>
      </c>
      <c r="E12" s="38" t="inlineStr"/>
    </row>
    <row r="13">
      <c r="A13" s="38" t="inlineStr">
        <is>
          <t>1</t>
        </is>
      </c>
      <c r="B13" s="38" t="inlineStr">
        <is>
          <t>1–2 SD</t>
        </is>
      </c>
      <c r="C13" s="38" t="inlineStr">
        <is>
          <t>Satisfactory</t>
        </is>
      </c>
      <c r="D13" s="38" t="inlineStr">
        <is>
          <t>✅ ยอมรับ</t>
        </is>
      </c>
      <c r="E13" s="38" t="inlineStr"/>
    </row>
    <row r="14">
      <c r="A14" s="39" t="inlineStr">
        <is>
          <t>2</t>
        </is>
      </c>
      <c r="B14" s="39" t="inlineStr">
        <is>
          <t>2–3 SD</t>
        </is>
      </c>
      <c r="C14" s="39" t="inlineStr">
        <is>
          <t>Borderline</t>
        </is>
      </c>
      <c r="D14" s="39" t="inlineStr">
        <is>
          <t>⚠️ เฝ้าระวัง</t>
        </is>
      </c>
      <c r="E14" s="39" t="inlineStr"/>
    </row>
    <row r="15">
      <c r="A15" s="40" t="inlineStr">
        <is>
          <t>3</t>
        </is>
      </c>
      <c r="B15" s="40" t="inlineStr">
        <is>
          <t>&gt; 3 SD</t>
        </is>
      </c>
      <c r="C15" s="40" t="inlineStr">
        <is>
          <t>Unsatisfactory</t>
        </is>
      </c>
      <c r="D15" s="40" t="inlineStr">
        <is>
          <t>❌ ไม่ผ่าน</t>
        </is>
      </c>
      <c r="E15" s="40" t="inlineStr"/>
    </row>
  </sheetData>
  <mergeCells count="3">
    <mergeCell ref="A10:E10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2026-06-13T15:29:19Z</dcterms:created>
  <dcterms:modified xmlns:dcterms="http://purl.org/dc/terms/" xmlns:xsi="http://www.w3.org/2001/XMLSchema-instance" xsi:type="dcterms:W3CDTF">2026-06-13T15:29:19Z</dcterms:modified>
</cp:coreProperties>
</file>