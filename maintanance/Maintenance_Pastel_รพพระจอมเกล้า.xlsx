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🔵 cobas 6800" sheetId="2" state="visible" r:id="rId2"/>
    <sheet xmlns:r="http://schemas.openxmlformats.org/officeDocument/2006/relationships" name="🔵 cobas z 480" sheetId="3" state="visible" r:id="rId3"/>
    <sheet xmlns:r="http://schemas.openxmlformats.org/officeDocument/2006/relationships" name="🟢 iPonatic III" sheetId="4" state="visible" r:id="rId4"/>
    <sheet xmlns:r="http://schemas.openxmlformats.org/officeDocument/2006/relationships" name="📅 Roche Plan 2569" sheetId="5" state="visible" r:id="rId5"/>
    <sheet xmlns:r="http://schemas.openxmlformats.org/officeDocument/2006/relationships" name="🔴 BD FACSCalib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1"/>
    </font>
    <font>
      <name val="Calibri"/>
      <b val="1"/>
      <color rgb="004A6FA5"/>
      <sz val="22"/>
    </font>
    <font>
      <name val="Calibri"/>
      <color rgb="00718096"/>
      <sz val="10"/>
    </font>
    <font>
      <name val="Calibri"/>
      <b val="1"/>
      <color rgb="005B9BD5"/>
      <sz val="22"/>
    </font>
    <font>
      <name val="Calibri"/>
      <b val="1"/>
      <color rgb="005A9A6A"/>
      <sz val="22"/>
    </font>
    <font>
      <name val="Calibri"/>
      <b val="1"/>
      <color rgb="00C07080"/>
      <sz val="22"/>
    </font>
    <font>
      <name val="Calibri"/>
      <b val="1"/>
      <color rgb="00D4895A"/>
      <sz val="22"/>
    </font>
    <font>
      <name val="Calibri"/>
      <b val="1"/>
      <color rgb="008B6DBF"/>
      <sz val="22"/>
    </font>
    <font>
      <name val="Calibri"/>
      <b val="1"/>
      <color rgb="002C5282"/>
      <sz val="11"/>
    </font>
    <font>
      <name val="Calibri"/>
      <b val="1"/>
      <color rgb="002C5282"/>
      <sz val="10"/>
    </font>
    <font>
      <name val="Calibri"/>
      <b val="1"/>
      <color rgb="001A4F7A"/>
      <sz val="10"/>
    </font>
    <font>
      <name val="Calibri"/>
      <color rgb="001A4F7A"/>
      <sz val="10"/>
    </font>
    <font>
      <name val="Calibri"/>
      <b val="1"/>
      <color rgb="001E5631"/>
      <sz val="10"/>
    </font>
    <font>
      <name val="Calibri"/>
      <color rgb="001E5631"/>
      <sz val="10"/>
    </font>
    <font>
      <name val="Calibri"/>
      <b val="1"/>
      <color rgb="007B2D36"/>
      <sz val="10"/>
    </font>
    <font>
      <name val="Calibri"/>
      <color rgb="007B2D36"/>
      <sz val="10"/>
    </font>
    <font>
      <name val="Calibri"/>
      <color rgb="002E7D32"/>
      <sz val="10"/>
    </font>
    <font>
      <name val="Calibri"/>
      <b val="1"/>
      <color rgb="002E7D32"/>
      <sz val="11"/>
    </font>
    <font>
      <name val="Calibri"/>
      <i val="1"/>
      <color rgb="00718096"/>
      <sz val="9"/>
    </font>
    <font>
      <name val="Calibri"/>
      <color rgb="00BF360C"/>
      <sz val="10"/>
    </font>
    <font>
      <name val="Calibri"/>
      <b val="1"/>
      <color rgb="00BF360C"/>
      <sz val="11"/>
    </font>
    <font>
      <name val="Calibri"/>
      <color rgb="00F57F17"/>
      <sz val="10"/>
    </font>
    <font>
      <name val="Calibri"/>
      <b val="1"/>
      <color rgb="00F57F17"/>
      <sz val="11"/>
    </font>
    <font>
      <name val="Calibri"/>
      <color rgb="005E35B1"/>
      <sz val="10"/>
    </font>
    <font>
      <name val="Calibri"/>
      <b val="1"/>
      <color rgb="005E35B1"/>
      <sz val="11"/>
    </font>
    <font>
      <name val="Calibri"/>
      <color rgb="00718096"/>
      <sz val="9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4A5568"/>
      <sz val="10"/>
    </font>
    <font>
      <name val="Calibri"/>
      <b val="1"/>
      <color rgb="00BF360C"/>
      <sz val="9"/>
    </font>
    <font>
      <name val="Calibri"/>
      <color rgb="004A5568"/>
      <sz val="9"/>
    </font>
    <font>
      <name val="Calibri"/>
      <color rgb="002D3748"/>
      <sz val="10"/>
    </font>
    <font>
      <name val="Calibri"/>
      <color rgb="001A4F7A"/>
      <sz val="9"/>
    </font>
    <font>
      <name val="Calibri"/>
      <b val="1"/>
      <color rgb="00558B2F"/>
      <sz val="9"/>
    </font>
    <font>
      <name val="Calibri"/>
      <b val="1"/>
      <color rgb="00F57F17"/>
      <sz val="9"/>
    </font>
    <font>
      <name val="Calibri"/>
      <b val="1"/>
      <color rgb="002E7D32"/>
      <sz val="9"/>
    </font>
    <font>
      <name val="Calibri"/>
      <b val="1"/>
      <color rgb="000277BD"/>
      <sz val="9"/>
    </font>
    <font>
      <name val="Calibri"/>
      <b val="1"/>
      <color rgb="002E6DA4"/>
      <sz val="10"/>
      <u val="single"/>
    </font>
    <font>
      <name val="Calibri"/>
      <color rgb="00F57F17"/>
      <sz val="9"/>
    </font>
    <font>
      <name val="Calibri"/>
      <color rgb="002D3748"/>
      <sz val="9"/>
    </font>
    <font>
      <name val="Calibri"/>
      <color rgb="001E5631"/>
      <sz val="9"/>
    </font>
    <font>
      <name val="Calibri"/>
      <b val="1"/>
      <color rgb="00718096"/>
      <sz val="9"/>
    </font>
    <font>
      <name val="Calibri"/>
      <color rgb="007B2D36"/>
      <sz val="9"/>
    </font>
    <font>
      <name val="Calibri"/>
      <b val="1"/>
      <color rgb="005E35B1"/>
      <sz val="9"/>
    </font>
    <font>
      <name val="Calibri"/>
      <color rgb="000563C1"/>
      <sz val="10"/>
      <u val="single"/>
    </font>
  </fonts>
  <fills count="32">
    <fill>
      <patternFill/>
    </fill>
    <fill>
      <patternFill patternType="gray125"/>
    </fill>
    <fill>
      <patternFill patternType="solid">
        <fgColor rgb="00FAFBFC"/>
      </patternFill>
    </fill>
    <fill>
      <patternFill patternType="solid">
        <fgColor rgb="008FA8C8"/>
      </patternFill>
    </fill>
    <fill>
      <patternFill patternType="solid">
        <fgColor rgb="00B0C8E0"/>
      </patternFill>
    </fill>
    <fill>
      <patternFill patternType="solid">
        <fgColor rgb="00E8F0FE"/>
      </patternFill>
    </fill>
    <fill>
      <patternFill patternType="solid">
        <fgColor rgb="00E3F2FD"/>
      </patternFill>
    </fill>
    <fill>
      <patternFill patternType="solid">
        <fgColor rgb="00E8F8EF"/>
      </patternFill>
    </fill>
    <fill>
      <patternFill patternType="solid">
        <fgColor rgb="00FDE7F0"/>
      </patternFill>
    </fill>
    <fill>
      <patternFill patternType="solid">
        <fgColor rgb="00FFF3E0"/>
      </patternFill>
    </fill>
    <fill>
      <patternFill patternType="solid">
        <fgColor rgb="00EDE7F6"/>
      </patternFill>
    </fill>
    <fill>
      <patternFill patternType="solid">
        <fgColor rgb="00D6E4F0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D4EDDA"/>
      </patternFill>
    </fill>
    <fill>
      <patternFill patternType="solid">
        <fgColor rgb="00EAF7EC"/>
      </patternFill>
    </fill>
    <fill>
      <patternFill patternType="solid">
        <fgColor rgb="00FDD5DA"/>
      </patternFill>
    </fill>
    <fill>
      <patternFill patternType="solid">
        <fgColor rgb="00FFF0F2"/>
      </patternFill>
    </fill>
    <fill>
      <patternFill patternType="solid">
        <fgColor rgb="00C8E6C9"/>
      </patternFill>
    </fill>
    <fill>
      <patternFill patternType="solid">
        <fgColor rgb="00FFCCBC"/>
      </patternFill>
    </fill>
    <fill>
      <patternFill patternType="solid">
        <fgColor rgb="00FFF9C4"/>
      </patternFill>
    </fill>
    <fill>
      <patternFill patternType="solid">
        <fgColor rgb="00E1D5F5"/>
      </patternFill>
    </fill>
    <fill>
      <patternFill patternType="solid">
        <fgColor rgb="00F7F8FA"/>
      </patternFill>
    </fill>
    <fill>
      <patternFill patternType="solid">
        <fgColor rgb="005B8CB8"/>
      </patternFill>
    </fill>
    <fill>
      <patternFill patternType="solid">
        <fgColor rgb="00A8C8E0"/>
      </patternFill>
    </fill>
    <fill>
      <patternFill patternType="solid">
        <fgColor rgb="00FFFFFF"/>
      </patternFill>
    </fill>
    <fill>
      <patternFill patternType="solid">
        <fgColor rgb="00DCEDC8"/>
      </patternFill>
    </fill>
    <fill>
      <patternFill patternType="solid">
        <fgColor rgb="00B3E5FC"/>
      </patternFill>
    </fill>
    <fill>
      <patternFill patternType="solid">
        <fgColor rgb="005A9A6A"/>
      </patternFill>
    </fill>
    <fill>
      <patternFill patternType="solid">
        <fgColor rgb="00A8D5B0"/>
      </patternFill>
    </fill>
    <fill>
      <patternFill patternType="solid">
        <fgColor rgb="00C07080"/>
      </patternFill>
    </fill>
    <fill>
      <patternFill patternType="solid">
        <fgColor rgb="00F0B8C0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/>
      <top style="thin">
        <color rgb="00CBD5E0"/>
      </top>
      <bottom style="thin">
        <color rgb="00CBD5E0"/>
      </bottom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12" fillId="12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0" fillId="13" borderId="1" pivotButton="0" quotePrefix="0" xfId="0"/>
    <xf numFmtId="0" fontId="14" fillId="14" borderId="1" applyAlignment="1" pivotButton="0" quotePrefix="0" xfId="0">
      <alignment horizontal="left" vertical="center" wrapText="1"/>
    </xf>
    <xf numFmtId="0" fontId="15" fillId="15" borderId="1" applyAlignment="1" pivotButton="0" quotePrefix="0" xfId="0">
      <alignment horizontal="left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6" fillId="16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16" fillId="17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horizontal="center" vertical="center" wrapText="1"/>
    </xf>
    <xf numFmtId="0" fontId="0" fillId="1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8" fillId="18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center" vertical="center" wrapText="1"/>
    </xf>
    <xf numFmtId="0" fontId="19" fillId="18" borderId="1" applyAlignment="1" pivotButton="0" quotePrefix="0" xfId="0">
      <alignment horizontal="center" vertical="center" wrapText="1"/>
    </xf>
    <xf numFmtId="0" fontId="20" fillId="2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23" fillId="20" borderId="1" applyAlignment="1" pivotButton="0" quotePrefix="0" xfId="0">
      <alignment horizontal="left" vertical="center" wrapText="1"/>
    </xf>
    <xf numFmtId="0" fontId="23" fillId="20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 wrapText="1"/>
    </xf>
    <xf numFmtId="0" fontId="25" fillId="21" borderId="1" applyAlignment="1" pivotButton="0" quotePrefix="0" xfId="0">
      <alignment horizontal="left" vertical="center" wrapText="1"/>
    </xf>
    <xf numFmtId="0" fontId="25" fillId="21" borderId="1" applyAlignment="1" pivotButton="0" quotePrefix="0" xfId="0">
      <alignment horizontal="center" vertical="center" wrapText="1"/>
    </xf>
    <xf numFmtId="0" fontId="26" fillId="2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27" fillId="22" borderId="1" applyAlignment="1" pivotButton="0" quotePrefix="0" xfId="0">
      <alignment horizontal="left" vertical="center" wrapText="1"/>
    </xf>
    <xf numFmtId="0" fontId="28" fillId="23" borderId="1" applyAlignment="1" pivotButton="0" quotePrefix="0" xfId="0">
      <alignment horizontal="left" vertical="center" wrapText="1"/>
    </xf>
    <xf numFmtId="0" fontId="29" fillId="24" borderId="1" applyAlignment="1" pivotButton="0" quotePrefix="0" xfId="0">
      <alignment horizontal="left" vertical="center" wrapText="1"/>
    </xf>
    <xf numFmtId="0" fontId="30" fillId="23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center" vertical="center" wrapText="1"/>
    </xf>
    <xf numFmtId="0" fontId="31" fillId="13" borderId="1" applyAlignment="1" pivotButton="0" quotePrefix="0" xfId="0">
      <alignment horizontal="center" vertical="center" wrapText="1"/>
    </xf>
    <xf numFmtId="0" fontId="32" fillId="19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center" vertical="center" wrapText="1"/>
    </xf>
    <xf numFmtId="0" fontId="33" fillId="13" borderId="1" applyAlignment="1" pivotButton="0" quotePrefix="0" xfId="0">
      <alignment horizontal="left" vertical="center" wrapText="1"/>
    </xf>
    <xf numFmtId="0" fontId="34" fillId="13" borderId="1" applyAlignment="1" pivotButton="0" quotePrefix="0" xfId="0">
      <alignment horizontal="center" vertical="center" wrapText="1"/>
    </xf>
    <xf numFmtId="0" fontId="35" fillId="13" borderId="1" applyAlignment="1" pivotButton="0" quotePrefix="0" xfId="0">
      <alignment horizontal="left" vertical="center" wrapText="1"/>
    </xf>
    <xf numFmtId="0" fontId="12" fillId="25" borderId="1" applyAlignment="1" pivotButton="0" quotePrefix="0" xfId="0">
      <alignment horizontal="center" vertical="center" wrapText="1"/>
    </xf>
    <xf numFmtId="0" fontId="31" fillId="25" borderId="1" applyAlignment="1" pivotButton="0" quotePrefix="0" xfId="0">
      <alignment horizontal="center" vertical="center" wrapText="1"/>
    </xf>
    <xf numFmtId="0" fontId="27" fillId="25" borderId="1" applyAlignment="1" pivotButton="0" quotePrefix="0" xfId="0">
      <alignment horizontal="center" vertical="center" wrapText="1"/>
    </xf>
    <xf numFmtId="0" fontId="33" fillId="25" borderId="1" applyAlignment="1" pivotButton="0" quotePrefix="0" xfId="0">
      <alignment horizontal="left" vertical="center" wrapText="1"/>
    </xf>
    <xf numFmtId="0" fontId="34" fillId="25" borderId="1" applyAlignment="1" pivotButton="0" quotePrefix="0" xfId="0">
      <alignment horizontal="center" vertical="center" wrapText="1"/>
    </xf>
    <xf numFmtId="0" fontId="35" fillId="25" borderId="1" applyAlignment="1" pivotButton="0" quotePrefix="0" xfId="0">
      <alignment horizontal="left" vertical="center" wrapText="1"/>
    </xf>
    <xf numFmtId="0" fontId="36" fillId="26" borderId="1" applyAlignment="1" pivotButton="0" quotePrefix="0" xfId="0">
      <alignment horizontal="center" vertical="center" wrapText="1"/>
    </xf>
    <xf numFmtId="0" fontId="37" fillId="20" borderId="1" applyAlignment="1" pivotButton="0" quotePrefix="0" xfId="0">
      <alignment horizontal="center" vertical="center" wrapText="1"/>
    </xf>
    <xf numFmtId="0" fontId="38" fillId="18" borderId="1" applyAlignment="1" pivotButton="0" quotePrefix="0" xfId="0">
      <alignment horizontal="center" vertical="center" wrapText="1"/>
    </xf>
    <xf numFmtId="0" fontId="39" fillId="27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31" fillId="13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40" fillId="18" borderId="1" applyAlignment="1" pivotButton="0" quotePrefix="0" xfId="0">
      <alignment horizontal="left" vertical="center" wrapText="1"/>
    </xf>
    <xf numFmtId="0" fontId="31" fillId="25" borderId="1" applyAlignment="1" pivotButton="0" quotePrefix="0" xfId="0">
      <alignment horizontal="left" vertical="center" wrapText="1"/>
    </xf>
    <xf numFmtId="0" fontId="27" fillId="25" borderId="1" applyAlignment="1" pivotButton="0" quotePrefix="0" xfId="0">
      <alignment horizontal="left" vertical="center" wrapText="1"/>
    </xf>
    <xf numFmtId="0" fontId="41" fillId="20" borderId="1" applyAlignment="1" pivotButton="0" quotePrefix="0" xfId="0">
      <alignment horizontal="left" vertical="center" wrapText="1"/>
    </xf>
    <xf numFmtId="0" fontId="20" fillId="13" borderId="1" applyAlignment="1" pivotButton="0" quotePrefix="0" xfId="0">
      <alignment horizontal="left" vertical="center" wrapText="1"/>
    </xf>
    <xf numFmtId="0" fontId="13" fillId="25" borderId="1" applyAlignment="1" pivotButton="0" quotePrefix="0" xfId="0">
      <alignment horizontal="left" vertical="center" wrapText="1"/>
    </xf>
    <xf numFmtId="0" fontId="20" fillId="25" borderId="1" applyAlignment="1" pivotButton="0" quotePrefix="0" xfId="0">
      <alignment horizontal="left" vertical="center" wrapText="1"/>
    </xf>
    <xf numFmtId="0" fontId="28" fillId="28" borderId="1" applyAlignment="1" pivotButton="0" quotePrefix="0" xfId="0">
      <alignment horizontal="left" vertical="center" wrapText="1"/>
    </xf>
    <xf numFmtId="0" fontId="29" fillId="29" borderId="1" applyAlignment="1" pivotButton="0" quotePrefix="0" xfId="0">
      <alignment horizontal="left" vertical="center" wrapText="1"/>
    </xf>
    <xf numFmtId="0" fontId="30" fillId="28" borderId="1" applyAlignment="1" pivotButton="0" quotePrefix="0" xfId="0">
      <alignment horizontal="left" vertical="center" wrapText="1"/>
    </xf>
    <xf numFmtId="0" fontId="14" fillId="14" borderId="1" applyAlignment="1" pivotButton="0" quotePrefix="0" xfId="0">
      <alignment horizontal="center" vertical="center" wrapText="1"/>
    </xf>
    <xf numFmtId="0" fontId="34" fillId="15" borderId="1" applyAlignment="1" pivotButton="0" quotePrefix="0" xfId="0">
      <alignment horizontal="center" vertical="center" wrapText="1"/>
    </xf>
    <xf numFmtId="0" fontId="42" fillId="15" borderId="1" applyAlignment="1" pivotButton="0" quotePrefix="0" xfId="0">
      <alignment horizontal="center" vertical="center" wrapText="1"/>
    </xf>
    <xf numFmtId="0" fontId="43" fillId="15" borderId="1" applyAlignment="1" pivotButton="0" quotePrefix="0" xfId="0">
      <alignment horizontal="left" vertical="center" wrapText="1"/>
    </xf>
    <xf numFmtId="0" fontId="14" fillId="25" borderId="1" applyAlignment="1" pivotButton="0" quotePrefix="0" xfId="0">
      <alignment horizontal="center" vertical="center" wrapText="1"/>
    </xf>
    <xf numFmtId="0" fontId="42" fillId="25" borderId="1" applyAlignment="1" pivotButton="0" quotePrefix="0" xfId="0">
      <alignment horizontal="center" vertical="center" wrapText="1"/>
    </xf>
    <xf numFmtId="0" fontId="43" fillId="25" borderId="1" applyAlignment="1" pivotButton="0" quotePrefix="0" xfId="0">
      <alignment horizontal="left" vertical="center" wrapText="1"/>
    </xf>
    <xf numFmtId="0" fontId="44" fillId="22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20" fillId="15" borderId="1" applyAlignment="1" pivotButton="0" quotePrefix="0" xfId="0">
      <alignment horizontal="left" vertical="center" wrapText="1"/>
    </xf>
    <xf numFmtId="0" fontId="15" fillId="25" borderId="1" applyAlignment="1" pivotButton="0" quotePrefix="0" xfId="0">
      <alignment horizontal="left" vertical="center" wrapText="1"/>
    </xf>
    <xf numFmtId="0" fontId="31" fillId="15" borderId="1" applyAlignment="1" pivotButton="0" quotePrefix="0" xfId="0">
      <alignment horizontal="left" vertical="center" wrapText="1"/>
    </xf>
    <xf numFmtId="0" fontId="31" fillId="1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left" vertical="center" wrapText="1"/>
    </xf>
    <xf numFmtId="0" fontId="35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13" fillId="25" borderId="1" applyAlignment="1" pivotButton="0" quotePrefix="0" xfId="0">
      <alignment horizontal="center" vertical="center" wrapText="1"/>
    </xf>
    <xf numFmtId="0" fontId="35" fillId="25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28" fillId="30" borderId="1" applyAlignment="1" pivotButton="0" quotePrefix="0" xfId="0">
      <alignment horizontal="left" vertical="center" wrapText="1"/>
    </xf>
    <xf numFmtId="0" fontId="29" fillId="31" borderId="1" applyAlignment="1" pivotButton="0" quotePrefix="0" xfId="0">
      <alignment horizontal="left" vertical="center" wrapText="1"/>
    </xf>
    <xf numFmtId="0" fontId="30" fillId="30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31" fillId="17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34" fillId="17" borderId="1" applyAlignment="1" pivotButton="0" quotePrefix="0" xfId="0">
      <alignment horizontal="center" vertical="center" wrapText="1"/>
    </xf>
    <xf numFmtId="0" fontId="45" fillId="17" borderId="1" applyAlignment="1" pivotButton="0" quotePrefix="0" xfId="0">
      <alignment horizontal="left" vertical="center" wrapText="1"/>
    </xf>
    <xf numFmtId="0" fontId="16" fillId="25" borderId="1" applyAlignment="1" pivotButton="0" quotePrefix="0" xfId="0">
      <alignment horizontal="center" vertical="center" wrapText="1"/>
    </xf>
    <xf numFmtId="0" fontId="46" fillId="21" borderId="1" applyAlignment="1" pivotButton="0" quotePrefix="0" xfId="0">
      <alignment horizontal="center" vertical="center" wrapText="1"/>
    </xf>
    <xf numFmtId="0" fontId="45" fillId="25" borderId="1" applyAlignment="1" pivotButton="0" quotePrefix="0" xfId="0">
      <alignment horizontal="left" vertical="center" wrapText="1"/>
    </xf>
    <xf numFmtId="0" fontId="0" fillId="16" borderId="1" pivotButton="0" quotePrefix="0" xfId="0"/>
    <xf numFmtId="0" fontId="20" fillId="17" borderId="1" applyAlignment="1" pivotButton="0" quotePrefix="0" xfId="0">
      <alignment horizontal="left" vertical="center" wrapText="1"/>
    </xf>
    <xf numFmtId="0" fontId="17" fillId="25" borderId="1" applyAlignment="1" pivotButton="0" quotePrefix="0" xfId="0">
      <alignment horizontal="left" vertical="center" wrapText="1"/>
    </xf>
    <xf numFmtId="0" fontId="31" fillId="17" borderId="1" applyAlignment="1" pivotButton="0" quotePrefix="0" xfId="0">
      <alignment horizontal="left" vertical="center" wrapText="1"/>
    </xf>
    <xf numFmtId="0" fontId="27" fillId="17" borderId="1" applyAlignment="1" pivotButton="0" quotePrefix="0" xfId="0">
      <alignment horizontal="left" vertical="center" wrapText="1"/>
    </xf>
    <xf numFmtId="0" fontId="47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FA8C8"/>
    <outlinePr summaryBelow="1" summaryRight="1"/>
    <pageSetUpPr/>
  </sheetPr>
  <dimension ref="A1:S5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18" customWidth="1" min="4" max="4"/>
    <col width="8" customWidth="1" min="5" max="5"/>
    <col width="9" customWidth="1" min="6" max="6"/>
    <col width="9" customWidth="1" min="7" max="7"/>
    <col width="9" customWidth="1" min="8" max="8"/>
    <col width="8" customWidth="1" min="9" max="9"/>
    <col width="18" customWidth="1" min="10" max="10"/>
    <col width="22" customWidth="1" min="11" max="11"/>
    <col width="1" customWidth="1" min="12" max="12"/>
    <col width="1" customWidth="1" min="13" max="13"/>
    <col width="1" customWidth="1" min="14" max="14"/>
    <col width="1" customWidth="1" min="15" max="15"/>
    <col width="1" customWidth="1" min="16" max="16"/>
    <col width="1" customWidth="1" min="17" max="17"/>
    <col width="1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52" customHeight="1">
      <c r="A2" s="2" t="inlineStr">
        <is>
          <t xml:space="preserve">  🏥  ระบบติดตามการบำรุงรักษาเครื่องมือแพทย์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1" t="n"/>
      <c r="R2" s="1" t="n"/>
      <c r="S2" s="1" t="n"/>
    </row>
    <row r="3" ht="26" customHeight="1">
      <c r="A3" s="3" t="inlineStr">
        <is>
          <t xml:space="preserve">  โรงพยาบาลพระจอมเกล้า  เพชรบุรี   ·   Maintenance Tracking Dashboard   ·   งานอณูชีวโมเลกุล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  <c r="R3" s="1" t="n"/>
      <c r="S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 ht="48" customHeight="1">
      <c r="A5" s="4" t="inlineStr">
        <is>
          <t>🔬  4</t>
        </is>
      </c>
      <c r="B5" s="40" t="n"/>
      <c r="C5" s="41" t="n"/>
      <c r="D5" s="5" t="inlineStr">
        <is>
          <t>🔧  31</t>
        </is>
      </c>
      <c r="E5" s="40" t="n"/>
      <c r="F5" s="41" t="n"/>
      <c r="G5" s="6" t="inlineStr">
        <is>
          <t>✅  12</t>
        </is>
      </c>
      <c r="H5" s="40" t="n"/>
      <c r="I5" s="41" t="n"/>
      <c r="J5" s="7" t="inlineStr">
        <is>
          <t>🔨  12</t>
        </is>
      </c>
      <c r="K5" s="40" t="n"/>
      <c r="L5" s="41" t="n"/>
      <c r="M5" s="8" t="inlineStr">
        <is>
          <t>📡  7</t>
        </is>
      </c>
      <c r="N5" s="40" t="n"/>
      <c r="O5" s="41" t="n"/>
      <c r="P5" s="9" t="inlineStr">
        <is>
          <t>⏱  ~60h</t>
        </is>
      </c>
      <c r="Q5" s="40" t="n"/>
      <c r="R5" s="41" t="n"/>
      <c r="S5" s="1" t="n"/>
    </row>
    <row r="6" ht="22" customHeight="1">
      <c r="A6" s="10" t="inlineStr">
        <is>
          <t>ประเภทเครื่องมือ</t>
        </is>
      </c>
      <c r="B6" s="40" t="n"/>
      <c r="C6" s="41" t="n"/>
      <c r="D6" s="11" t="inlineStr">
        <is>
          <t>การบริการทั้งหมด</t>
        </is>
      </c>
      <c r="E6" s="40" t="n"/>
      <c r="F6" s="41" t="n"/>
      <c r="G6" s="12" t="inlineStr">
        <is>
          <t>PM Visit</t>
        </is>
      </c>
      <c r="H6" s="40" t="n"/>
      <c r="I6" s="41" t="n"/>
      <c r="J6" s="13" t="inlineStr">
        <is>
          <t>Repair / Service</t>
        </is>
      </c>
      <c r="K6" s="40" t="n"/>
      <c r="L6" s="41" t="n"/>
      <c r="M6" s="14" t="inlineStr">
        <is>
          <t>Remote Support</t>
        </is>
      </c>
      <c r="N6" s="40" t="n"/>
      <c r="O6" s="41" t="n"/>
      <c r="P6" s="15" t="inlineStr">
        <is>
          <t>ชั่วโมงบริการรวม</t>
        </is>
      </c>
      <c r="Q6" s="40" t="n"/>
      <c r="R6" s="41" t="n"/>
      <c r="S6" s="1" t="n"/>
    </row>
    <row r="7" ht="10" customHeight="1">
      <c r="A7" s="16" t="n"/>
      <c r="B7" s="40" t="n"/>
      <c r="C7" s="41" t="n"/>
      <c r="D7" s="17" t="n"/>
      <c r="E7" s="40" t="n"/>
      <c r="F7" s="41" t="n"/>
      <c r="G7" s="18" t="n"/>
      <c r="H7" s="40" t="n"/>
      <c r="I7" s="41" t="n"/>
      <c r="J7" s="19" t="n"/>
      <c r="K7" s="40" t="n"/>
      <c r="L7" s="41" t="n"/>
      <c r="M7" s="20" t="n"/>
      <c r="N7" s="40" t="n"/>
      <c r="O7" s="41" t="n"/>
      <c r="P7" s="21" t="n"/>
      <c r="Q7" s="40" t="n"/>
      <c r="R7" s="41" t="n"/>
      <c r="S7" s="1" t="n"/>
    </row>
    <row r="8" ht="8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</row>
    <row r="9" ht="24" customHeight="1">
      <c r="A9" s="22" t="inlineStr">
        <is>
          <t xml:space="preserve">  📋  สรุปข้อมูลเครื่องมือแพทย์รายเครื่อง</t>
        </is>
      </c>
      <c r="B9" s="40" t="n"/>
      <c r="C9" s="40" t="n"/>
      <c r="D9" s="40" t="n"/>
      <c r="E9" s="40" t="n"/>
      <c r="F9" s="40" t="n"/>
      <c r="G9" s="40" t="n"/>
      <c r="H9" s="40" t="n"/>
      <c r="I9" s="40" t="n"/>
      <c r="J9" s="40" t="n"/>
      <c r="K9" s="40" t="n"/>
      <c r="L9" s="40" t="n"/>
      <c r="M9" s="40" t="n"/>
      <c r="N9" s="40" t="n"/>
      <c r="O9" s="40" t="n"/>
      <c r="P9" s="40" t="n"/>
      <c r="Q9" s="40" t="n"/>
      <c r="R9" s="41" t="n"/>
      <c r="S9" s="1" t="n"/>
    </row>
    <row r="10" ht="30" customHeight="1">
      <c r="A10" s="23" t="inlineStr">
        <is>
          <t>เครื่องมือ</t>
        </is>
      </c>
      <c r="B10" s="23" t="inlineStr">
        <is>
          <t>ยี่ห้อ</t>
        </is>
      </c>
      <c r="C10" s="23" t="inlineStr">
        <is>
          <t>รุ่น / Model</t>
        </is>
      </c>
      <c r="D10" s="23" t="inlineStr">
        <is>
          <t>Serial No.</t>
        </is>
      </c>
      <c r="E10" s="23" t="inlineStr">
        <is>
          <t>PM</t>
        </is>
      </c>
      <c r="F10" s="23" t="inlineStr">
        <is>
          <t>Repair</t>
        </is>
      </c>
      <c r="G10" s="23" t="inlineStr">
        <is>
          <t>Remote</t>
        </is>
      </c>
      <c r="H10" s="23" t="inlineStr">
        <is>
          <t>รวม</t>
        </is>
      </c>
      <c r="I10" s="23" t="inlineStr">
        <is>
          <t>Labor hrs</t>
        </is>
      </c>
      <c r="J10" s="23" t="inlineStr">
        <is>
          <t>ช่วงเวลา</t>
        </is>
      </c>
      <c r="K10" s="23" t="inlineStr">
        <is>
          <t>ช่างหลัก</t>
        </is>
      </c>
      <c r="L10" s="24" t="n"/>
      <c r="M10" s="24" t="n"/>
      <c r="N10" s="24" t="n"/>
      <c r="O10" s="24" t="n"/>
      <c r="P10" s="24" t="n"/>
      <c r="Q10" s="24" t="n"/>
      <c r="R10" s="24" t="n"/>
      <c r="S10" s="1" t="n"/>
    </row>
    <row r="11" ht="28" customHeight="1">
      <c r="A11" s="25" t="inlineStr">
        <is>
          <t>cobas® 6800</t>
        </is>
      </c>
      <c r="B11" s="26" t="inlineStr">
        <is>
          <t>Roche Diagnostics (TH)</t>
        </is>
      </c>
      <c r="C11" s="26" t="inlineStr">
        <is>
          <t>cobas 6800</t>
        </is>
      </c>
      <c r="D11" s="26" t="inlineStr">
        <is>
          <t>1376</t>
        </is>
      </c>
      <c r="E11" s="27" t="inlineStr">
        <is>
          <t>2</t>
        </is>
      </c>
      <c r="F11" s="27" t="inlineStr">
        <is>
          <t>8</t>
        </is>
      </c>
      <c r="G11" s="27" t="inlineStr">
        <is>
          <t>7</t>
        </is>
      </c>
      <c r="H11" s="27" t="inlineStr">
        <is>
          <t>17</t>
        </is>
      </c>
      <c r="I11" s="28" t="inlineStr">
        <is>
          <t>31.9h</t>
        </is>
      </c>
      <c r="J11" s="28" t="inlineStr">
        <is>
          <t>ม.ค.68–พ.ค.69</t>
        </is>
      </c>
      <c r="K11" s="28" t="inlineStr">
        <is>
          <t>Roche FSE</t>
        </is>
      </c>
      <c r="L11" s="29" t="n"/>
      <c r="M11" s="29" t="n"/>
      <c r="N11" s="29" t="n"/>
      <c r="O11" s="29" t="n"/>
      <c r="P11" s="29" t="n"/>
      <c r="Q11" s="29" t="n"/>
      <c r="R11" s="29" t="n"/>
      <c r="S11" s="1" t="n"/>
    </row>
    <row r="12" ht="28" customHeight="1">
      <c r="A12" s="25" t="inlineStr">
        <is>
          <t>cobas® z 480</t>
        </is>
      </c>
      <c r="B12" s="26" t="inlineStr">
        <is>
          <t>Roche Diagnostics (TH)</t>
        </is>
      </c>
      <c r="C12" s="26" t="inlineStr">
        <is>
          <t>cobas z 480</t>
        </is>
      </c>
      <c r="D12" s="26" t="inlineStr">
        <is>
          <t>54632</t>
        </is>
      </c>
      <c r="E12" s="27" t="inlineStr">
        <is>
          <t>1</t>
        </is>
      </c>
      <c r="F12" s="27" t="inlineStr">
        <is>
          <t>—</t>
        </is>
      </c>
      <c r="G12" s="27" t="inlineStr">
        <is>
          <t>—</t>
        </is>
      </c>
      <c r="H12" s="27" t="inlineStr">
        <is>
          <t>1</t>
        </is>
      </c>
      <c r="I12" s="28" t="inlineStr">
        <is>
          <t>—</t>
        </is>
      </c>
      <c r="J12" s="28" t="inlineStr">
        <is>
          <t>พ.ค.68</t>
        </is>
      </c>
      <c r="K12" s="28" t="inlineStr">
        <is>
          <t>Roche FSE</t>
        </is>
      </c>
      <c r="L12" s="29" t="n"/>
      <c r="M12" s="29" t="n"/>
      <c r="N12" s="29" t="n"/>
      <c r="O12" s="29" t="n"/>
      <c r="P12" s="29" t="n"/>
      <c r="Q12" s="29" t="n"/>
      <c r="R12" s="29" t="n"/>
      <c r="S12" s="1" t="n"/>
    </row>
    <row r="13" ht="28" customHeight="1">
      <c r="A13" s="30" t="inlineStr">
        <is>
          <t>iPonatic® III</t>
        </is>
      </c>
      <c r="B13" s="31" t="inlineStr">
        <is>
          <t>Z-medic Co., Ltd.</t>
        </is>
      </c>
      <c r="C13" s="31" t="inlineStr">
        <is>
          <t>iPonatic Portable Mol.</t>
        </is>
      </c>
      <c r="D13" s="31" t="inlineStr">
        <is>
          <t>Q36AE032210010130</t>
        </is>
      </c>
      <c r="E13" s="32" t="inlineStr">
        <is>
          <t>5</t>
        </is>
      </c>
      <c r="F13" s="32" t="inlineStr">
        <is>
          <t>—</t>
        </is>
      </c>
      <c r="G13" s="32" t="inlineStr">
        <is>
          <t>—</t>
        </is>
      </c>
      <c r="H13" s="32" t="inlineStr">
        <is>
          <t>5</t>
        </is>
      </c>
      <c r="I13" s="33" t="inlineStr">
        <is>
          <t>—</t>
        </is>
      </c>
      <c r="J13" s="33" t="inlineStr">
        <is>
          <t>ก.พ.67–ม.ค.69</t>
        </is>
      </c>
      <c r="K13" s="33" t="inlineStr">
        <is>
          <t>จารุวรรณ / ธนภูมิ / สุดารัตน์</t>
        </is>
      </c>
      <c r="L13" s="34" t="n"/>
      <c r="M13" s="34" t="n"/>
      <c r="N13" s="34" t="n"/>
      <c r="O13" s="34" t="n"/>
      <c r="P13" s="34" t="n"/>
      <c r="Q13" s="34" t="n"/>
      <c r="R13" s="34" t="n"/>
      <c r="S13" s="1" t="n"/>
    </row>
    <row r="14" ht="28" customHeight="1">
      <c r="A14" s="35" t="inlineStr">
        <is>
          <t>BD FACSCalibur™</t>
        </is>
      </c>
      <c r="B14" s="36" t="inlineStr">
        <is>
          <t>Becton Dickinson (TH)</t>
        </is>
      </c>
      <c r="C14" s="36" t="inlineStr">
        <is>
          <t>FACSCalibur 3Color</t>
        </is>
      </c>
      <c r="D14" s="36" t="inlineStr">
        <is>
          <t>E34297300589</t>
        </is>
      </c>
      <c r="E14" s="37" t="inlineStr">
        <is>
          <t>4</t>
        </is>
      </c>
      <c r="F14" s="37" t="inlineStr">
        <is>
          <t>3</t>
        </is>
      </c>
      <c r="G14" s="37" t="inlineStr">
        <is>
          <t>—</t>
        </is>
      </c>
      <c r="H14" s="37" t="inlineStr">
        <is>
          <t>8</t>
        </is>
      </c>
      <c r="I14" s="38" t="inlineStr">
        <is>
          <t>27.5h</t>
        </is>
      </c>
      <c r="J14" s="38" t="inlineStr">
        <is>
          <t>พ.ย.66–พ.ย.69</t>
        </is>
      </c>
      <c r="K14" s="38" t="inlineStr">
        <is>
          <t>Janboon Pisitpong</t>
        </is>
      </c>
      <c r="L14" s="39" t="n"/>
      <c r="M14" s="39" t="n"/>
      <c r="N14" s="39" t="n"/>
      <c r="O14" s="39" t="n"/>
      <c r="P14" s="39" t="n"/>
      <c r="Q14" s="39" t="n"/>
      <c r="R14" s="39" t="n"/>
      <c r="S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 ht="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</row>
    <row r="17" ht="24" customHeight="1">
      <c r="A17" s="22" t="inlineStr">
        <is>
          <t xml:space="preserve">  📊  สรุปประเภทการบริการ</t>
        </is>
      </c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40" t="n"/>
      <c r="P17" s="40" t="n"/>
      <c r="Q17" s="40" t="n"/>
      <c r="R17" s="41" t="n"/>
      <c r="S17" s="1" t="n"/>
    </row>
    <row r="18" ht="30" customHeight="1">
      <c r="A18" s="23" t="inlineStr">
        <is>
          <t>ประเภท</t>
        </is>
      </c>
      <c r="B18" s="23" t="inlineStr">
        <is>
          <t>cobas 6800</t>
        </is>
      </c>
      <c r="C18" s="23" t="inlineStr">
        <is>
          <t>cobas z 480</t>
        </is>
      </c>
      <c r="D18" s="23" t="inlineStr">
        <is>
          <t>iPonatic III</t>
        </is>
      </c>
      <c r="E18" s="23" t="inlineStr">
        <is>
          <t>BD FACSCalibur</t>
        </is>
      </c>
      <c r="F18" s="23" t="inlineStr">
        <is>
          <t>รวม</t>
        </is>
      </c>
      <c r="G18" s="23" t="inlineStr">
        <is>
          <t>หมายเหตุ</t>
        </is>
      </c>
      <c r="H18" s="40" t="n"/>
      <c r="I18" s="40" t="n"/>
      <c r="J18" s="40" t="n"/>
      <c r="K18" s="40" t="n"/>
      <c r="L18" s="40" t="n"/>
      <c r="M18" s="40" t="n"/>
      <c r="N18" s="40" t="n"/>
      <c r="O18" s="40" t="n"/>
      <c r="P18" s="40" t="n"/>
      <c r="Q18" s="40" t="n"/>
      <c r="R18" s="41" t="n"/>
      <c r="S18" s="1" t="n"/>
    </row>
    <row r="19" ht="26" customHeight="1">
      <c r="A19" s="42" t="inlineStr">
        <is>
          <t>✅  Preventive Maintenance</t>
        </is>
      </c>
      <c r="B19" s="43" t="inlineStr">
        <is>
          <t>2</t>
        </is>
      </c>
      <c r="C19" s="43" t="inlineStr">
        <is>
          <t>1</t>
        </is>
      </c>
      <c r="D19" s="43" t="inlineStr">
        <is>
          <t>5</t>
        </is>
      </c>
      <c r="E19" s="43" t="inlineStr">
        <is>
          <t>4</t>
        </is>
      </c>
      <c r="F19" s="44" t="inlineStr">
        <is>
          <t>12</t>
        </is>
      </c>
      <c r="G19" s="45" t="inlineStr">
        <is>
          <t>ดำเนินการตามแผนทุกเครื่อง</t>
        </is>
      </c>
      <c r="H19" s="40" t="n"/>
      <c r="I19" s="40" t="n"/>
      <c r="J19" s="40" t="n"/>
      <c r="K19" s="40" t="n"/>
      <c r="L19" s="40" t="n"/>
      <c r="M19" s="40" t="n"/>
      <c r="N19" s="40" t="n"/>
      <c r="O19" s="40" t="n"/>
      <c r="P19" s="40" t="n"/>
      <c r="Q19" s="40" t="n"/>
      <c r="R19" s="41" t="n"/>
      <c r="S19" s="1" t="n"/>
    </row>
    <row r="20" ht="26" customHeight="1">
      <c r="A20" s="46" t="inlineStr">
        <is>
          <t>🔨  Repair / Service Visit</t>
        </is>
      </c>
      <c r="B20" s="47" t="inlineStr">
        <is>
          <t>8</t>
        </is>
      </c>
      <c r="C20" s="47" t="inlineStr">
        <is>
          <t>—</t>
        </is>
      </c>
      <c r="D20" s="47" t="inlineStr">
        <is>
          <t>—</t>
        </is>
      </c>
      <c r="E20" s="47" t="inlineStr">
        <is>
          <t>3</t>
        </is>
      </c>
      <c r="F20" s="48" t="inlineStr">
        <is>
          <t>11</t>
        </is>
      </c>
      <c r="G20" s="45" t="inlineStr">
        <is>
          <t>Roche cobas 6800 และ BD FACSCalibur</t>
        </is>
      </c>
      <c r="H20" s="40" t="n"/>
      <c r="I20" s="40" t="n"/>
      <c r="J20" s="40" t="n"/>
      <c r="K20" s="40" t="n"/>
      <c r="L20" s="40" t="n"/>
      <c r="M20" s="40" t="n"/>
      <c r="N20" s="40" t="n"/>
      <c r="O20" s="40" t="n"/>
      <c r="P20" s="40" t="n"/>
      <c r="Q20" s="40" t="n"/>
      <c r="R20" s="41" t="n"/>
      <c r="S20" s="1" t="n"/>
    </row>
    <row r="21" ht="26" customHeight="1">
      <c r="A21" s="49" t="inlineStr">
        <is>
          <t>📡  Remote / Tele Support</t>
        </is>
      </c>
      <c r="B21" s="50" t="inlineStr">
        <is>
          <t>7</t>
        </is>
      </c>
      <c r="C21" s="50" t="inlineStr">
        <is>
          <t>—</t>
        </is>
      </c>
      <c r="D21" s="50" t="inlineStr">
        <is>
          <t>—</t>
        </is>
      </c>
      <c r="E21" s="50" t="inlineStr">
        <is>
          <t>—</t>
        </is>
      </c>
      <c r="F21" s="51" t="inlineStr">
        <is>
          <t>7</t>
        </is>
      </c>
      <c r="G21" s="45" t="inlineStr">
        <is>
          <t>cobas 6800 เท่านั้น</t>
        </is>
      </c>
      <c r="H21" s="40" t="n"/>
      <c r="I21" s="40" t="n"/>
      <c r="J21" s="40" t="n"/>
      <c r="K21" s="40" t="n"/>
      <c r="L21" s="40" t="n"/>
      <c r="M21" s="40" t="n"/>
      <c r="N21" s="40" t="n"/>
      <c r="O21" s="40" t="n"/>
      <c r="P21" s="40" t="n"/>
      <c r="Q21" s="40" t="n"/>
      <c r="R21" s="41" t="n"/>
      <c r="S21" s="1" t="n"/>
    </row>
    <row r="22" ht="26" customHeight="1">
      <c r="A22" s="52" t="inlineStr">
        <is>
          <t>🚚  Relocation / Courtesy</t>
        </is>
      </c>
      <c r="B22" s="53" t="inlineStr">
        <is>
          <t>1</t>
        </is>
      </c>
      <c r="C22" s="53" t="inlineStr">
        <is>
          <t>—</t>
        </is>
      </c>
      <c r="D22" s="53" t="inlineStr">
        <is>
          <t>—</t>
        </is>
      </c>
      <c r="E22" s="53" t="inlineStr">
        <is>
          <t>1</t>
        </is>
      </c>
      <c r="F22" s="54" t="inlineStr">
        <is>
          <t>2</t>
        </is>
      </c>
      <c r="G22" s="45" t="inlineStr">
        <is>
          <t>cobas 6800 Courtesy + BD Relocation</t>
        </is>
      </c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1" t="n"/>
      <c r="S22" s="1" t="n"/>
    </row>
    <row r="23" ht="26" customHeight="1">
      <c r="A23" s="55" t="inlineStr">
        <is>
          <t>📋  รวมทั้งหมด</t>
        </is>
      </c>
      <c r="B23" s="23" t="inlineStr">
        <is>
          <t>18</t>
        </is>
      </c>
      <c r="C23" s="23" t="inlineStr">
        <is>
          <t>1</t>
        </is>
      </c>
      <c r="D23" s="23" t="inlineStr">
        <is>
          <t>5</t>
        </is>
      </c>
      <c r="E23" s="23" t="inlineStr">
        <is>
          <t>8</t>
        </is>
      </c>
      <c r="F23" s="56" t="inlineStr">
        <is>
          <t>32</t>
        </is>
      </c>
      <c r="G23" s="45" t="inlineStr">
        <is>
          <t>—</t>
        </is>
      </c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1" t="n"/>
      <c r="S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</row>
    <row r="25" ht="8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</row>
    <row r="26" ht="18" customHeight="1">
      <c r="A26" s="57" t="inlineStr">
        <is>
          <t xml:space="preserve">  ห้องปฏิบัติการเทคนิคการแพทย์  ·  โรงพยาบาลพระจอมเกล้า เพชรบุรี  ·  Maintenance Dashboard</t>
        </is>
      </c>
      <c r="B26" s="40" t="n"/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1" t="n"/>
      <c r="S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</row>
  </sheetData>
  <mergeCells count="29">
    <mergeCell ref="J6:L6"/>
    <mergeCell ref="G6:I6"/>
    <mergeCell ref="G19:R19"/>
    <mergeCell ref="M7:O7"/>
    <mergeCell ref="G18:R18"/>
    <mergeCell ref="D7:F7"/>
    <mergeCell ref="M6:O6"/>
    <mergeCell ref="J7:L7"/>
    <mergeCell ref="P7:R7"/>
    <mergeCell ref="A26:R26"/>
    <mergeCell ref="A5:C5"/>
    <mergeCell ref="G5:I5"/>
    <mergeCell ref="A17:R17"/>
    <mergeCell ref="G20:R20"/>
    <mergeCell ref="D5:F5"/>
    <mergeCell ref="A3:Q3"/>
    <mergeCell ref="P5:R5"/>
    <mergeCell ref="A2:Q2"/>
    <mergeCell ref="G22:R22"/>
    <mergeCell ref="A9:R9"/>
    <mergeCell ref="G21:R21"/>
    <mergeCell ref="J5:L5"/>
    <mergeCell ref="A6:C6"/>
    <mergeCell ref="M5:O5"/>
    <mergeCell ref="D6:F6"/>
    <mergeCell ref="G23:R23"/>
    <mergeCell ref="A7:C7"/>
    <mergeCell ref="G7:I7"/>
    <mergeCell ref="P6:R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8CB8"/>
    <outlinePr summaryBelow="1" summaryRight="1"/>
    <pageSetUpPr/>
  </sheetPr>
  <dimension ref="A1:M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11" customWidth="1" min="5" max="5"/>
    <col width="18" customWidth="1" min="6" max="6"/>
    <col width="16" customWidth="1" min="7" max="7"/>
    <col width="38" customWidth="1" min="8" max="8"/>
    <col width="36" customWidth="1" min="9" max="9"/>
    <col width="40" customWidth="1" min="10" max="10"/>
    <col width="9" customWidth="1" min="11" max="11"/>
    <col width="12" customWidth="1" min="12" max="12"/>
    <col width="2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8" customHeight="1">
      <c r="A2" s="58" t="inlineStr">
        <is>
          <t xml:space="preserve">  🔵  Roche Diagnostics (Thailand)  ·  cobas® 6800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1" t="n"/>
    </row>
    <row r="3" ht="22" customHeight="1">
      <c r="A3" s="59" t="inlineStr">
        <is>
          <t xml:space="preserve">  S/N: 1376   ·   รพ.พระจอมเกล้า เพชรบุรี   ·   Hotline: 1800-0193-99  ·  Line: @rcscthailand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46" customHeight="1">
      <c r="A5" s="4" t="inlineStr">
        <is>
          <t>📊  18</t>
        </is>
      </c>
      <c r="B5" s="41" t="n"/>
      <c r="C5" s="5" t="inlineStr">
        <is>
          <t>🔨  8</t>
        </is>
      </c>
      <c r="D5" s="41" t="n"/>
      <c r="E5" s="6" t="inlineStr">
        <is>
          <t>✅  2</t>
        </is>
      </c>
      <c r="F5" s="41" t="n"/>
      <c r="G5" s="8" t="inlineStr">
        <is>
          <t>📡  7</t>
        </is>
      </c>
      <c r="H5" s="41" t="n"/>
      <c r="I5" s="7" t="inlineStr">
        <is>
          <t>⏱  31.9h</t>
        </is>
      </c>
      <c r="J5" s="41" t="n"/>
      <c r="K5" s="1" t="n"/>
      <c r="L5" s="1" t="n"/>
      <c r="M5" s="1" t="n"/>
    </row>
    <row r="6" ht="20" customHeight="1">
      <c r="A6" s="10" t="inlineStr">
        <is>
          <t>บริการทั้งหมด</t>
        </is>
      </c>
      <c r="B6" s="41" t="n"/>
      <c r="C6" s="11" t="inlineStr">
        <is>
          <t>Service Visit</t>
        </is>
      </c>
      <c r="D6" s="41" t="n"/>
      <c r="E6" s="12" t="inlineStr">
        <is>
          <t>PM</t>
        </is>
      </c>
      <c r="F6" s="41" t="n"/>
      <c r="G6" s="14" t="inlineStr">
        <is>
          <t>Remote</t>
        </is>
      </c>
      <c r="H6" s="41" t="n"/>
      <c r="I6" s="13" t="inlineStr">
        <is>
          <t>Labor</t>
        </is>
      </c>
      <c r="J6" s="41" t="n"/>
      <c r="K6" s="1" t="n"/>
      <c r="L6" s="1" t="n"/>
      <c r="M6" s="1" t="n"/>
    </row>
    <row r="7" ht="8" customHeight="1">
      <c r="A7" s="16" t="n"/>
      <c r="B7" s="41" t="n"/>
      <c r="C7" s="17" t="n"/>
      <c r="D7" s="41" t="n"/>
      <c r="E7" s="18" t="n"/>
      <c r="F7" s="41" t="n"/>
      <c r="G7" s="20" t="n"/>
      <c r="H7" s="41" t="n"/>
      <c r="I7" s="19" t="n"/>
      <c r="J7" s="41" t="n"/>
      <c r="K7" s="1" t="n"/>
      <c r="L7" s="1" t="n"/>
      <c r="M7" s="1" t="n"/>
    </row>
    <row r="8" ht="24" customHeight="1">
      <c r="A8" s="60" t="inlineStr">
        <is>
          <t xml:space="preserve">  📋  ประวัติการบริการ (Service History)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1" t="n"/>
    </row>
    <row r="9" ht="32" customHeight="1">
      <c r="A9" s="61" t="inlineStr">
        <is>
          <t>#</t>
        </is>
      </c>
      <c r="B9" s="61" t="inlineStr">
        <is>
          <t>วันที่</t>
        </is>
      </c>
      <c r="C9" s="61" t="inlineStr">
        <is>
          <t>ประเภท</t>
        </is>
      </c>
      <c r="D9" s="61" t="inlineStr">
        <is>
          <t>เครื่อง</t>
        </is>
      </c>
      <c r="E9" s="61" t="inlineStr">
        <is>
          <t>S/N</t>
        </is>
      </c>
      <c r="F9" s="61" t="inlineStr">
        <is>
          <t>Case No.</t>
        </is>
      </c>
      <c r="G9" s="61" t="inlineStr">
        <is>
          <t>Work Order</t>
        </is>
      </c>
      <c r="H9" s="61" t="inlineStr">
        <is>
          <t>อาการ</t>
        </is>
      </c>
      <c r="I9" s="61" t="inlineStr">
        <is>
          <t>การแก้ไข</t>
        </is>
      </c>
      <c r="J9" s="61" t="inlineStr">
        <is>
          <t>งานที่ดำเนินการ</t>
        </is>
      </c>
      <c r="K9" s="61" t="inlineStr">
        <is>
          <t>ชั่วโมง</t>
        </is>
      </c>
      <c r="L9" s="61" t="inlineStr">
        <is>
          <t>ค่าใช้จ่าย</t>
        </is>
      </c>
      <c r="M9" s="61" t="inlineStr">
        <is>
          <t>ช่าง</t>
        </is>
      </c>
    </row>
    <row r="10" ht="38" customHeight="1">
      <c r="A10" s="27" t="n">
        <v>1</v>
      </c>
      <c r="B10" s="62" t="inlineStr">
        <is>
          <t>16/01/2025</t>
        </is>
      </c>
      <c r="C10" s="63" t="inlineStr">
        <is>
          <t>Service Visit</t>
        </is>
      </c>
      <c r="D10" s="64" t="inlineStr">
        <is>
          <t>cobas 6800</t>
        </is>
      </c>
      <c r="E10" s="64" t="inlineStr">
        <is>
          <t>1376</t>
        </is>
      </c>
      <c r="F10" s="64" t="inlineStr">
        <is>
          <t>CAS-0022102876</t>
        </is>
      </c>
      <c r="G10" s="64" t="inlineStr">
        <is>
          <t>WO-31212303</t>
        </is>
      </c>
      <c r="H10" s="65" t="inlineStr">
        <is>
          <t>ไม่ Initialize หลัง PM</t>
        </is>
      </c>
      <c r="I10" s="65" t="inlineStr">
        <is>
          <t>Restart → standby สำเร็จ</t>
        </is>
      </c>
      <c r="J10" s="65" t="inlineStr">
        <is>
          <t>Replace Control unit; ปรับ Reagent Storage; Consumable loading area</t>
        </is>
      </c>
      <c r="K10" s="66" t="inlineStr">
        <is>
          <t>7.98</t>
        </is>
      </c>
      <c r="L10" s="64" t="inlineStr">
        <is>
          <t>Free</t>
        </is>
      </c>
      <c r="M10" s="67" t="inlineStr">
        <is>
          <t>Sompop Bangyeekhan</t>
        </is>
      </c>
    </row>
    <row r="11" ht="38" customHeight="1">
      <c r="A11" s="68" t="n">
        <v>2</v>
      </c>
      <c r="B11" s="69" t="inlineStr">
        <is>
          <t>14/02/2025</t>
        </is>
      </c>
      <c r="C11" s="63" t="inlineStr">
        <is>
          <t>Service Visit</t>
        </is>
      </c>
      <c r="D11" s="70" t="inlineStr">
        <is>
          <t>cobas 6800</t>
        </is>
      </c>
      <c r="E11" s="70" t="inlineStr">
        <is>
          <t>1376</t>
        </is>
      </c>
      <c r="F11" s="70" t="inlineStr">
        <is>
          <t>CAS-0022388810</t>
        </is>
      </c>
      <c r="G11" s="70" t="inlineStr">
        <is>
          <t>WO-31515749</t>
        </is>
      </c>
      <c r="H11" s="71" t="inlineStr">
        <is>
          <t>Magazine C error, pusher damper CDI3</t>
        </is>
      </c>
      <c r="I11" s="71" t="inlineStr">
        <is>
          <t>Close reagent drawer loosely</t>
        </is>
      </c>
      <c r="J11" s="71" t="inlineStr">
        <is>
          <t>Clean/adjust motor B/5/7; Drawer test; Run test</t>
        </is>
      </c>
      <c r="K11" s="72" t="inlineStr">
        <is>
          <t>4.80</t>
        </is>
      </c>
      <c r="L11" s="70" t="inlineStr">
        <is>
          <t>Free</t>
        </is>
      </c>
      <c r="M11" s="73" t="inlineStr">
        <is>
          <t>Anurak Phaphai</t>
        </is>
      </c>
    </row>
    <row r="12" ht="38" customHeight="1">
      <c r="A12" s="27" t="n">
        <v>3</v>
      </c>
      <c r="B12" s="62" t="inlineStr">
        <is>
          <t>12/03/2025</t>
        </is>
      </c>
      <c r="C12" s="74" t="inlineStr">
        <is>
          <t>SW Modification</t>
        </is>
      </c>
      <c r="D12" s="64" t="inlineStr">
        <is>
          <t>FortiGate-50E</t>
        </is>
      </c>
      <c r="E12" s="64" t="inlineStr">
        <is>
          <t>FGT50E5620030159</t>
        </is>
      </c>
      <c r="F12" s="64" t="inlineStr">
        <is>
          <t>—</t>
        </is>
      </c>
      <c r="G12" s="64" t="inlineStr">
        <is>
          <t>—</t>
        </is>
      </c>
      <c r="H12" s="65" t="inlineStr">
        <is>
          <t>Network equipment SW Modification</t>
        </is>
      </c>
      <c r="I12" s="65" t="inlineStr">
        <is>
          <t>SW Modification</t>
        </is>
      </c>
      <c r="J12" s="65" t="inlineStr">
        <is>
          <t>—</t>
        </is>
      </c>
      <c r="K12" s="66" t="inlineStr">
        <is>
          <t>1.00</t>
        </is>
      </c>
      <c r="L12" s="64" t="inlineStr">
        <is>
          <t>Free</t>
        </is>
      </c>
      <c r="M12" s="67" t="inlineStr">
        <is>
          <t>—</t>
        </is>
      </c>
    </row>
    <row r="13" ht="38" customHeight="1">
      <c r="A13" s="68" t="n">
        <v>4</v>
      </c>
      <c r="B13" s="69" t="inlineStr">
        <is>
          <t>20/03/2025</t>
        </is>
      </c>
      <c r="C13" s="75" t="inlineStr">
        <is>
          <t>Tele/RemoteDiag</t>
        </is>
      </c>
      <c r="D13" s="70" t="inlineStr">
        <is>
          <t>cobas 6800</t>
        </is>
      </c>
      <c r="E13" s="70" t="inlineStr">
        <is>
          <t>1376</t>
        </is>
      </c>
      <c r="F13" s="70" t="inlineStr">
        <is>
          <t>—</t>
        </is>
      </c>
      <c r="G13" s="70" t="inlineStr">
        <is>
          <t>—</t>
        </is>
      </c>
      <c r="H13" s="71" t="inlineStr">
        <is>
          <t>Remote diagnostic</t>
        </is>
      </c>
      <c r="I13" s="71" t="inlineStr">
        <is>
          <t>Tele support</t>
        </is>
      </c>
      <c r="J13" s="71" t="inlineStr">
        <is>
          <t>—</t>
        </is>
      </c>
      <c r="K13" s="72" t="inlineStr">
        <is>
          <t>2.25</t>
        </is>
      </c>
      <c r="L13" s="70" t="inlineStr">
        <is>
          <t>Free</t>
        </is>
      </c>
      <c r="M13" s="73" t="inlineStr">
        <is>
          <t>—</t>
        </is>
      </c>
    </row>
    <row r="14" ht="38" customHeight="1">
      <c r="A14" s="27" t="n">
        <v>5</v>
      </c>
      <c r="B14" s="62" t="inlineStr">
        <is>
          <t>21/03/2025</t>
        </is>
      </c>
      <c r="C14" s="63" t="inlineStr">
        <is>
          <t>Service Visit</t>
        </is>
      </c>
      <c r="D14" s="64" t="inlineStr">
        <is>
          <t>cobas 6800</t>
        </is>
      </c>
      <c r="E14" s="64" t="inlineStr">
        <is>
          <t>1376</t>
        </is>
      </c>
      <c r="F14" s="64" t="inlineStr">
        <is>
          <t>—</t>
        </is>
      </c>
      <c r="G14" s="64" t="inlineStr">
        <is>
          <t>—</t>
        </is>
      </c>
      <c r="H14" s="65" t="inlineStr">
        <is>
          <t>Transfer module Error</t>
        </is>
      </c>
      <c r="I14" s="65" t="inlineStr">
        <is>
          <t>ตรวจสอบ transfer module</t>
        </is>
      </c>
      <c r="J14" s="65" t="inlineStr">
        <is>
          <t>Transfer module inspection &amp; adjustment</t>
        </is>
      </c>
      <c r="K14" s="66" t="inlineStr">
        <is>
          <t>2.50</t>
        </is>
      </c>
      <c r="L14" s="64" t="inlineStr">
        <is>
          <t>Free</t>
        </is>
      </c>
      <c r="M14" s="67" t="inlineStr">
        <is>
          <t>—</t>
        </is>
      </c>
    </row>
    <row r="15" ht="38" customHeight="1">
      <c r="A15" s="68" t="n">
        <v>6</v>
      </c>
      <c r="B15" s="69" t="inlineStr">
        <is>
          <t>27/05/2025</t>
        </is>
      </c>
      <c r="C15" s="76" t="inlineStr">
        <is>
          <t>PM Visit</t>
        </is>
      </c>
      <c r="D15" s="70" t="inlineStr">
        <is>
          <t>cobas 6800</t>
        </is>
      </c>
      <c r="E15" s="70" t="inlineStr">
        <is>
          <t>1376</t>
        </is>
      </c>
      <c r="F15" s="70" t="inlineStr">
        <is>
          <t>—</t>
        </is>
      </c>
      <c r="G15" s="70" t="inlineStr">
        <is>
          <t>—</t>
        </is>
      </c>
      <c r="H15" s="71" t="inlineStr">
        <is>
          <t>PM ครั้งที่ 1/2568</t>
        </is>
      </c>
      <c r="I15" s="71" t="inlineStr">
        <is>
          <t>PM ตามแผน</t>
        </is>
      </c>
      <c r="J15" s="71" t="inlineStr">
        <is>
          <t>Periodic Maintenance</t>
        </is>
      </c>
      <c r="K15" s="72" t="inlineStr">
        <is>
          <t>—</t>
        </is>
      </c>
      <c r="L15" s="70" t="inlineStr">
        <is>
          <t>Free</t>
        </is>
      </c>
      <c r="M15" s="73" t="inlineStr">
        <is>
          <t>—</t>
        </is>
      </c>
    </row>
    <row r="16" ht="38" customHeight="1">
      <c r="A16" s="27" t="n">
        <v>7</v>
      </c>
      <c r="B16" s="62" t="inlineStr">
        <is>
          <t>23/06/2025</t>
        </is>
      </c>
      <c r="C16" s="75" t="inlineStr">
        <is>
          <t>Remote Support</t>
        </is>
      </c>
      <c r="D16" s="64" t="inlineStr">
        <is>
          <t>cobas 6800</t>
        </is>
      </c>
      <c r="E16" s="64" t="inlineStr">
        <is>
          <t>1376</t>
        </is>
      </c>
      <c r="F16" s="64" t="inlineStr">
        <is>
          <t>—</t>
        </is>
      </c>
      <c r="G16" s="64" t="inlineStr">
        <is>
          <t>—</t>
        </is>
      </c>
      <c r="H16" s="65" t="inlineStr">
        <is>
          <t>Remote support</t>
        </is>
      </c>
      <c r="I16" s="65" t="inlineStr">
        <is>
          <t>Remote</t>
        </is>
      </c>
      <c r="J16" s="65" t="inlineStr">
        <is>
          <t>—</t>
        </is>
      </c>
      <c r="K16" s="66" t="inlineStr">
        <is>
          <t>—</t>
        </is>
      </c>
      <c r="L16" s="64" t="inlineStr">
        <is>
          <t>Free</t>
        </is>
      </c>
      <c r="M16" s="67" t="inlineStr">
        <is>
          <t>—</t>
        </is>
      </c>
    </row>
    <row r="17" ht="38" customHeight="1">
      <c r="A17" s="68" t="n">
        <v>8</v>
      </c>
      <c r="B17" s="69" t="inlineStr">
        <is>
          <t>24/06/2025</t>
        </is>
      </c>
      <c r="C17" s="75" t="inlineStr">
        <is>
          <t>Remote Support</t>
        </is>
      </c>
      <c r="D17" s="70" t="inlineStr">
        <is>
          <t>cobas 6800</t>
        </is>
      </c>
      <c r="E17" s="70" t="inlineStr">
        <is>
          <t>1376</t>
        </is>
      </c>
      <c r="F17" s="70" t="inlineStr">
        <is>
          <t>—</t>
        </is>
      </c>
      <c r="G17" s="70" t="inlineStr">
        <is>
          <t>—</t>
        </is>
      </c>
      <c r="H17" s="71" t="inlineStr">
        <is>
          <t>Transfer module error ระหว่าง HPV run</t>
        </is>
      </c>
      <c r="I17" s="71" t="inlineStr">
        <is>
          <t>Remote support</t>
        </is>
      </c>
      <c r="J17" s="71" t="inlineStr">
        <is>
          <t>—</t>
        </is>
      </c>
      <c r="K17" s="72" t="inlineStr">
        <is>
          <t>—</t>
        </is>
      </c>
      <c r="L17" s="70" t="inlineStr">
        <is>
          <t>Free</t>
        </is>
      </c>
      <c r="M17" s="73" t="inlineStr">
        <is>
          <t>—</t>
        </is>
      </c>
    </row>
    <row r="18" ht="38" customHeight="1">
      <c r="A18" s="27" t="n">
        <v>9</v>
      </c>
      <c r="B18" s="62" t="inlineStr">
        <is>
          <t>27/06/2025</t>
        </is>
      </c>
      <c r="C18" s="77" t="inlineStr">
        <is>
          <t>Courtesy Visit</t>
        </is>
      </c>
      <c r="D18" s="64" t="inlineStr">
        <is>
          <t>cobas 6800</t>
        </is>
      </c>
      <c r="E18" s="64" t="inlineStr">
        <is>
          <t>1376</t>
        </is>
      </c>
      <c r="F18" s="64" t="inlineStr">
        <is>
          <t>—</t>
        </is>
      </c>
      <c r="G18" s="64" t="inlineStr">
        <is>
          <t>—</t>
        </is>
      </c>
      <c r="H18" s="65" t="inlineStr">
        <is>
          <t>Courtesy Visit</t>
        </is>
      </c>
      <c r="I18" s="65" t="inlineStr">
        <is>
          <t>ตรวจสอบโดยรวม</t>
        </is>
      </c>
      <c r="J18" s="65" t="inlineStr">
        <is>
          <t>—</t>
        </is>
      </c>
      <c r="K18" s="66" t="inlineStr">
        <is>
          <t>—</t>
        </is>
      </c>
      <c r="L18" s="64" t="inlineStr">
        <is>
          <t>Free</t>
        </is>
      </c>
      <c r="M18" s="67" t="inlineStr">
        <is>
          <t>—</t>
        </is>
      </c>
    </row>
    <row r="19" ht="38" customHeight="1">
      <c r="A19" s="68" t="n">
        <v>10</v>
      </c>
      <c r="B19" s="69" t="inlineStr">
        <is>
          <t>29/07/2025</t>
        </is>
      </c>
      <c r="C19" s="75" t="inlineStr">
        <is>
          <t>Remote Support</t>
        </is>
      </c>
      <c r="D19" s="70" t="inlineStr">
        <is>
          <t>cobas 6800</t>
        </is>
      </c>
      <c r="E19" s="70" t="inlineStr">
        <is>
          <t>1376</t>
        </is>
      </c>
      <c r="F19" s="70" t="inlineStr">
        <is>
          <t>—</t>
        </is>
      </c>
      <c r="G19" s="70" t="inlineStr">
        <is>
          <t>—</t>
        </is>
      </c>
      <c r="H19" s="71" t="inlineStr">
        <is>
          <t>Remote support</t>
        </is>
      </c>
      <c r="I19" s="71" t="inlineStr">
        <is>
          <t>—</t>
        </is>
      </c>
      <c r="J19" s="71" t="inlineStr">
        <is>
          <t>—</t>
        </is>
      </c>
      <c r="K19" s="72" t="inlineStr">
        <is>
          <t>—</t>
        </is>
      </c>
      <c r="L19" s="70" t="inlineStr">
        <is>
          <t>Free</t>
        </is>
      </c>
      <c r="M19" s="73" t="inlineStr">
        <is>
          <t>—</t>
        </is>
      </c>
    </row>
    <row r="20" ht="38" customHeight="1">
      <c r="A20" s="27" t="n">
        <v>11</v>
      </c>
      <c r="B20" s="62" t="inlineStr">
        <is>
          <t>17/08/2025</t>
        </is>
      </c>
      <c r="C20" s="63" t="inlineStr">
        <is>
          <t>Service Visit</t>
        </is>
      </c>
      <c r="D20" s="64" t="inlineStr">
        <is>
          <t>cobas 6800</t>
        </is>
      </c>
      <c r="E20" s="64" t="inlineStr">
        <is>
          <t>1376</t>
        </is>
      </c>
      <c r="F20" s="64" t="inlineStr">
        <is>
          <t>—</t>
        </is>
      </c>
      <c r="G20" s="64" t="inlineStr">
        <is>
          <t>—</t>
        </is>
      </c>
      <c r="H20" s="65" t="inlineStr">
        <is>
          <t>Backup failed — S drive unavailable</t>
        </is>
      </c>
      <c r="I20" s="65" t="inlineStr">
        <is>
          <t>Backup troubleshooting</t>
        </is>
      </c>
      <c r="J20" s="65" t="inlineStr">
        <is>
          <t>System check; Backup fix</t>
        </is>
      </c>
      <c r="K20" s="66" t="inlineStr">
        <is>
          <t>2.98</t>
        </is>
      </c>
      <c r="L20" s="64" t="inlineStr">
        <is>
          <t>Free</t>
        </is>
      </c>
      <c r="M20" s="67" t="inlineStr">
        <is>
          <t>—</t>
        </is>
      </c>
    </row>
    <row r="21" ht="38" customHeight="1">
      <c r="A21" s="68" t="n">
        <v>12</v>
      </c>
      <c r="B21" s="69" t="inlineStr">
        <is>
          <t>26/08/2025</t>
        </is>
      </c>
      <c r="C21" s="63" t="inlineStr">
        <is>
          <t>Service Visit</t>
        </is>
      </c>
      <c r="D21" s="70" t="inlineStr">
        <is>
          <t>cobas 6800</t>
        </is>
      </c>
      <c r="E21" s="70" t="inlineStr">
        <is>
          <t>1376</t>
        </is>
      </c>
      <c r="F21" s="70" t="inlineStr">
        <is>
          <t>—</t>
        </is>
      </c>
      <c r="G21" s="70" t="inlineStr">
        <is>
          <t>—</t>
        </is>
      </c>
      <c r="H21" s="71" t="inlineStr">
        <is>
          <t>Processing module error HPV — Transfer Carrier failure</t>
        </is>
      </c>
      <c r="I21" s="71" t="inlineStr">
        <is>
          <t>ตรวจสอบ processing module</t>
        </is>
      </c>
      <c r="J21" s="71" t="inlineStr">
        <is>
          <t>Module inspection; Carrier adjustment</t>
        </is>
      </c>
      <c r="K21" s="72" t="inlineStr">
        <is>
          <t>2.98</t>
        </is>
      </c>
      <c r="L21" s="70" t="inlineStr">
        <is>
          <t>Free</t>
        </is>
      </c>
      <c r="M21" s="73" t="inlineStr">
        <is>
          <t>—</t>
        </is>
      </c>
    </row>
    <row r="22" ht="38" customHeight="1">
      <c r="A22" s="27" t="n">
        <v>13</v>
      </c>
      <c r="B22" s="62" t="inlineStr">
        <is>
          <t>03/12/2025</t>
        </is>
      </c>
      <c r="C22" s="63" t="inlineStr">
        <is>
          <t>Service Visit</t>
        </is>
      </c>
      <c r="D22" s="64" t="inlineStr">
        <is>
          <t>cobas 6800</t>
        </is>
      </c>
      <c r="E22" s="64" t="inlineStr">
        <is>
          <t>1376</t>
        </is>
      </c>
      <c r="F22" s="64" t="inlineStr">
        <is>
          <t>CAS-0024758063</t>
        </is>
      </c>
      <c r="G22" s="64" t="inlineStr">
        <is>
          <t>WO-34968781</t>
        </is>
      </c>
      <c r="H22" s="65" t="inlineStr">
        <is>
          <t>Supply บน processing plate park position A</t>
        </is>
      </c>
      <c r="I22" s="65" t="inlineStr">
        <is>
          <t>ตรวจสอบ transfer module</t>
        </is>
      </c>
      <c r="J22" s="65" t="inlineStr">
        <is>
          <t>Module inspection; Supply removal; Function check</t>
        </is>
      </c>
      <c r="K22" s="66" t="inlineStr">
        <is>
          <t>—</t>
        </is>
      </c>
      <c r="L22" s="64" t="inlineStr">
        <is>
          <t>Free</t>
        </is>
      </c>
      <c r="M22" s="67" t="inlineStr">
        <is>
          <t>—</t>
        </is>
      </c>
    </row>
    <row r="23" ht="38" customHeight="1">
      <c r="A23" s="68" t="n">
        <v>14</v>
      </c>
      <c r="B23" s="69" t="inlineStr">
        <is>
          <t>17/12/2025</t>
        </is>
      </c>
      <c r="C23" s="63" t="inlineStr">
        <is>
          <t>Service Visit</t>
        </is>
      </c>
      <c r="D23" s="70" t="inlineStr">
        <is>
          <t>cobas 6800</t>
        </is>
      </c>
      <c r="E23" s="70" t="inlineStr">
        <is>
          <t>1376</t>
        </is>
      </c>
      <c r="F23" s="70" t="inlineStr">
        <is>
          <t>—</t>
        </is>
      </c>
      <c r="G23" s="70" t="inlineStr">
        <is>
          <t>—</t>
        </is>
      </c>
      <c r="H23" s="71" t="inlineStr">
        <is>
          <t>Service Visit ธ.ค.68</t>
        </is>
      </c>
      <c r="I23" s="71" t="inlineStr">
        <is>
          <t>ตรวจสอบและบำรุงรักษา</t>
        </is>
      </c>
      <c r="J23" s="71" t="inlineStr">
        <is>
          <t>Inspection</t>
        </is>
      </c>
      <c r="K23" s="72" t="inlineStr">
        <is>
          <t>—</t>
        </is>
      </c>
      <c r="L23" s="70" t="inlineStr">
        <is>
          <t>Free</t>
        </is>
      </c>
      <c r="M23" s="73" t="inlineStr">
        <is>
          <t>—</t>
        </is>
      </c>
    </row>
    <row r="24" ht="38" customHeight="1">
      <c r="A24" s="27" t="n">
        <v>15</v>
      </c>
      <c r="B24" s="62" t="inlineStr">
        <is>
          <t>25/02/2026</t>
        </is>
      </c>
      <c r="C24" s="63" t="inlineStr">
        <is>
          <t>Service Visit</t>
        </is>
      </c>
      <c r="D24" s="64" t="inlineStr">
        <is>
          <t>cobas 6800</t>
        </is>
      </c>
      <c r="E24" s="64" t="inlineStr">
        <is>
          <t>1376</t>
        </is>
      </c>
      <c r="F24" s="64" t="inlineStr">
        <is>
          <t>—</t>
        </is>
      </c>
      <c r="G24" s="64" t="inlineStr">
        <is>
          <t>—</t>
        </is>
      </c>
      <c r="H24" s="65" t="inlineStr">
        <is>
          <t>Transfer module error — HIV-1 sample transfer</t>
        </is>
      </c>
      <c r="I24" s="65" t="inlineStr">
        <is>
          <t>ตรวจสอบ transfer module</t>
        </is>
      </c>
      <c r="J24" s="65" t="inlineStr">
        <is>
          <t>Transfer module inspection</t>
        </is>
      </c>
      <c r="K24" s="66" t="inlineStr">
        <is>
          <t>—</t>
        </is>
      </c>
      <c r="L24" s="64" t="inlineStr">
        <is>
          <t>Free</t>
        </is>
      </c>
      <c r="M24" s="67" t="inlineStr">
        <is>
          <t>—</t>
        </is>
      </c>
    </row>
    <row r="25" ht="38" customHeight="1">
      <c r="A25" s="68" t="n">
        <v>16</v>
      </c>
      <c r="B25" s="69" t="inlineStr">
        <is>
          <t>10/03/2026</t>
        </is>
      </c>
      <c r="C25" s="75" t="inlineStr">
        <is>
          <t>Remote Support</t>
        </is>
      </c>
      <c r="D25" s="70" t="inlineStr">
        <is>
          <t>cobas 6800</t>
        </is>
      </c>
      <c r="E25" s="70" t="inlineStr">
        <is>
          <t>1376</t>
        </is>
      </c>
      <c r="F25" s="70" t="inlineStr">
        <is>
          <t>CAS-0025386910</t>
        </is>
      </c>
      <c r="G25" s="70" t="inlineStr">
        <is>
          <t>WO-35857115</t>
        </is>
      </c>
      <c r="H25" s="71" t="inlineStr">
        <is>
          <t>HPV positive สูงผิดปกติ 2 batch</t>
        </is>
      </c>
      <c r="I25" s="71" t="inlineStr">
        <is>
          <t>Review Colibri data → HPV confirmed</t>
        </is>
      </c>
      <c r="J25" s="71" t="inlineStr">
        <is>
          <t>Colibri data review; Result verification</t>
        </is>
      </c>
      <c r="K25" s="72" t="inlineStr">
        <is>
          <t>—</t>
        </is>
      </c>
      <c r="L25" s="70" t="inlineStr">
        <is>
          <t>Free</t>
        </is>
      </c>
      <c r="M25" s="73" t="inlineStr">
        <is>
          <t>—</t>
        </is>
      </c>
    </row>
    <row r="26" ht="38" customHeight="1">
      <c r="A26" s="27" t="n">
        <v>17</v>
      </c>
      <c r="B26" s="62" t="inlineStr">
        <is>
          <t>16/03/2026</t>
        </is>
      </c>
      <c r="C26" s="63" t="inlineStr">
        <is>
          <t>Service Visit</t>
        </is>
      </c>
      <c r="D26" s="64" t="inlineStr">
        <is>
          <t>cobas 6800</t>
        </is>
      </c>
      <c r="E26" s="64" t="inlineStr">
        <is>
          <t>1376</t>
        </is>
      </c>
      <c r="F26" s="64" t="inlineStr">
        <is>
          <t>—</t>
        </is>
      </c>
      <c r="G26" s="64" t="inlineStr">
        <is>
          <t>—</t>
        </is>
      </c>
      <c r="H26" s="65" t="inlineStr">
        <is>
          <t>Transfer module error — HIV-1 sample transfer</t>
        </is>
      </c>
      <c r="I26" s="65" t="inlineStr">
        <is>
          <t>ตรวจสอบและซ่อม transfer module</t>
        </is>
      </c>
      <c r="J26" s="65" t="inlineStr">
        <is>
          <t>Transfer module repair; Verification</t>
        </is>
      </c>
      <c r="K26" s="66" t="inlineStr">
        <is>
          <t>8.48</t>
        </is>
      </c>
      <c r="L26" s="64" t="inlineStr">
        <is>
          <t>Free</t>
        </is>
      </c>
      <c r="M26" s="67" t="inlineStr">
        <is>
          <t>—</t>
        </is>
      </c>
    </row>
    <row r="27" ht="38" customHeight="1">
      <c r="A27" s="68" t="n">
        <v>18</v>
      </c>
      <c r="B27" s="69" t="inlineStr">
        <is>
          <t>11/05/2026</t>
        </is>
      </c>
      <c r="C27" s="75" t="inlineStr">
        <is>
          <t>Remote Support</t>
        </is>
      </c>
      <c r="D27" s="70" t="inlineStr">
        <is>
          <t>cobas 6800</t>
        </is>
      </c>
      <c r="E27" s="70" t="inlineStr">
        <is>
          <t>1376</t>
        </is>
      </c>
      <c r="F27" s="70" t="inlineStr">
        <is>
          <t>CAS-0025859593</t>
        </is>
      </c>
      <c r="G27" s="70" t="inlineStr">
        <is>
          <t>WO-36576697</t>
        </is>
      </c>
      <c r="H27" s="71" t="inlineStr">
        <is>
          <t>Error ระหว่าง Initialize หลัง PM</t>
        </is>
      </c>
      <c r="I27" s="71" t="inlineStr">
        <is>
          <t>Restart → initialize สำเร็จ</t>
        </is>
      </c>
      <c r="J27" s="71" t="inlineStr">
        <is>
          <t>Remote restart guidance</t>
        </is>
      </c>
      <c r="K27" s="72" t="inlineStr">
        <is>
          <t>0.67</t>
        </is>
      </c>
      <c r="L27" s="70" t="inlineStr">
        <is>
          <t>Free</t>
        </is>
      </c>
      <c r="M27" s="73" t="inlineStr">
        <is>
          <t>—</t>
        </is>
      </c>
    </row>
    <row r="28" ht="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 ht="24" customHeight="1">
      <c r="A29" s="60" t="inlineStr">
        <is>
          <t xml:space="preserve">  📎  เอกสารแนบ / Attachments</t>
        </is>
      </c>
      <c r="B29" s="40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L29" s="40" t="n"/>
      <c r="M29" s="41" t="n"/>
    </row>
    <row r="30" ht="28" customHeight="1">
      <c r="A30" s="61" t="inlineStr">
        <is>
          <t>#</t>
        </is>
      </c>
      <c r="B30" s="61" t="inlineStr">
        <is>
          <t>ประเภท</t>
        </is>
      </c>
      <c r="C30" s="61" t="inlineStr">
        <is>
          <t>Work Order</t>
        </is>
      </c>
      <c r="D30" s="61" t="inlineStr">
        <is>
          <t>วันที่</t>
        </is>
      </c>
      <c r="E30" s="61" t="inlineStr">
        <is>
          <t>คำอธิบาย</t>
        </is>
      </c>
      <c r="F30" s="61" t="inlineStr">
        <is>
          <t>📎 ไฟล์ PDF</t>
        </is>
      </c>
      <c r="G30" s="78" t="n"/>
      <c r="H30" s="78" t="n"/>
      <c r="I30" s="78" t="n"/>
      <c r="J30" s="78" t="n"/>
      <c r="K30" s="78" t="n"/>
      <c r="L30" s="78" t="n"/>
      <c r="M30" s="78" t="n"/>
    </row>
    <row r="31" ht="28" customHeight="1">
      <c r="A31" s="27" t="n">
        <v>1</v>
      </c>
      <c r="B31" s="79" t="inlineStr">
        <is>
          <t>Service Report</t>
        </is>
      </c>
      <c r="C31" s="62" t="inlineStr">
        <is>
          <t>WO-31212303</t>
        </is>
      </c>
      <c r="D31" s="62" t="inlineStr">
        <is>
          <t>16/01/2025</t>
        </is>
      </c>
      <c r="E31" s="80" t="inlineStr">
        <is>
          <t>Service Visit — ไม่ Initialize</t>
        </is>
      </c>
      <c r="F31" s="129">
        <f>HYPERLINK("Cobas6800_16Jan2025_ServiceVisit.pdf","📎 Cobas6800_16Jan2025_ServiceVisit.pdf")</f>
        <v/>
      </c>
      <c r="G31" s="40" t="n"/>
      <c r="H31" s="40" t="n"/>
      <c r="I31" s="40" t="n"/>
      <c r="J31" s="40" t="n"/>
      <c r="K31" s="40" t="n"/>
      <c r="L31" s="40" t="n"/>
      <c r="M31" s="41" t="n"/>
    </row>
    <row r="32" ht="28" customHeight="1">
      <c r="A32" s="68" t="n">
        <v>2</v>
      </c>
      <c r="B32" s="82" t="inlineStr">
        <is>
          <t>Service Report</t>
        </is>
      </c>
      <c r="C32" s="69" t="inlineStr">
        <is>
          <t>WO-31515749</t>
        </is>
      </c>
      <c r="D32" s="69" t="inlineStr">
        <is>
          <t>14/02/2025</t>
        </is>
      </c>
      <c r="E32" s="83" t="inlineStr">
        <is>
          <t>Service Visit — Magazine C error</t>
        </is>
      </c>
      <c r="F32" s="129">
        <f>HYPERLINK("Cobas6800_14Feb2025_ServiceVisit.pdf","📎 Cobas6800_14Feb2025_ServiceVisit.pdf")</f>
        <v/>
      </c>
      <c r="G32" s="40" t="n"/>
      <c r="H32" s="40" t="n"/>
      <c r="I32" s="40" t="n"/>
      <c r="J32" s="40" t="n"/>
      <c r="K32" s="40" t="n"/>
      <c r="L32" s="40" t="n"/>
      <c r="M32" s="41" t="n"/>
    </row>
    <row r="33" ht="28" customHeight="1">
      <c r="A33" s="27" t="n">
        <v>3</v>
      </c>
      <c r="B33" s="79" t="inlineStr">
        <is>
          <t>SW Mod</t>
        </is>
      </c>
      <c r="C33" s="62" t="inlineStr">
        <is>
          <t>—</t>
        </is>
      </c>
      <c r="D33" s="62" t="inlineStr">
        <is>
          <t>12/03/2025</t>
        </is>
      </c>
      <c r="E33" s="80" t="inlineStr">
        <is>
          <t>SW Modification FortiGate</t>
        </is>
      </c>
      <c r="F33" s="129">
        <f>HYPERLINK("Cobas6800_12Mar2025_SWModification_FortiGate.pdf","📎 Cobas6800_12Mar2025_SWModification_FortiGate.pdf")</f>
        <v/>
      </c>
      <c r="G33" s="40" t="n"/>
      <c r="H33" s="40" t="n"/>
      <c r="I33" s="40" t="n"/>
      <c r="J33" s="40" t="n"/>
      <c r="K33" s="40" t="n"/>
      <c r="L33" s="40" t="n"/>
      <c r="M33" s="41" t="n"/>
    </row>
    <row r="34" ht="28" customHeight="1">
      <c r="A34" s="68" t="n">
        <v>4</v>
      </c>
      <c r="B34" s="82" t="inlineStr">
        <is>
          <t>Remote</t>
        </is>
      </c>
      <c r="C34" s="69" t="inlineStr">
        <is>
          <t>—</t>
        </is>
      </c>
      <c r="D34" s="69" t="inlineStr">
        <is>
          <t>20/03/2025</t>
        </is>
      </c>
      <c r="E34" s="83" t="inlineStr">
        <is>
          <t>Tele/Remote Diagnostic</t>
        </is>
      </c>
      <c r="F34" s="129">
        <f>HYPERLINK("Cobas6800_20Mar2025_TeleRemoteDiag.pdf","📎 Cobas6800_20Mar2025_TeleRemoteDiag.pdf")</f>
        <v/>
      </c>
      <c r="G34" s="40" t="n"/>
      <c r="H34" s="40" t="n"/>
      <c r="I34" s="40" t="n"/>
      <c r="J34" s="40" t="n"/>
      <c r="K34" s="40" t="n"/>
      <c r="L34" s="40" t="n"/>
      <c r="M34" s="41" t="n"/>
    </row>
    <row r="35" ht="28" customHeight="1">
      <c r="A35" s="27" t="n">
        <v>5</v>
      </c>
      <c r="B35" s="79" t="inlineStr">
        <is>
          <t>Service Report</t>
        </is>
      </c>
      <c r="C35" s="62" t="inlineStr">
        <is>
          <t>—</t>
        </is>
      </c>
      <c r="D35" s="62" t="inlineStr">
        <is>
          <t>21/03/2025</t>
        </is>
      </c>
      <c r="E35" s="80" t="inlineStr">
        <is>
          <t>Service Visit — Transfer module error</t>
        </is>
      </c>
      <c r="F35" s="129">
        <f>HYPERLINK("Cobas6800_21Mar2025_ServiceVisit.pdf","📎 Cobas6800_21Mar2025_ServiceVisit.pdf")</f>
        <v/>
      </c>
      <c r="G35" s="40" t="n"/>
      <c r="H35" s="40" t="n"/>
      <c r="I35" s="40" t="n"/>
      <c r="J35" s="40" t="n"/>
      <c r="K35" s="40" t="n"/>
      <c r="L35" s="40" t="n"/>
      <c r="M35" s="41" t="n"/>
    </row>
    <row r="36" ht="28" customHeight="1">
      <c r="A36" s="68" t="n">
        <v>6</v>
      </c>
      <c r="B36" s="82" t="inlineStr">
        <is>
          <t>PM Report</t>
        </is>
      </c>
      <c r="C36" s="69" t="inlineStr">
        <is>
          <t>—</t>
        </is>
      </c>
      <c r="D36" s="69" t="inlineStr">
        <is>
          <t>27/05/2025</t>
        </is>
      </c>
      <c r="E36" s="83" t="inlineStr">
        <is>
          <t>PM Visit 1/2568</t>
        </is>
      </c>
      <c r="F36" s="129">
        <f>HYPERLINK("Cobas6800_27May2025_PMVisit.pdf","📎 Cobas6800_27May2025_PMVisit.pdf")</f>
        <v/>
      </c>
      <c r="G36" s="40" t="n"/>
      <c r="H36" s="40" t="n"/>
      <c r="I36" s="40" t="n"/>
      <c r="J36" s="40" t="n"/>
      <c r="K36" s="40" t="n"/>
      <c r="L36" s="40" t="n"/>
      <c r="M36" s="41" t="n"/>
    </row>
    <row r="37" ht="28" customHeight="1">
      <c r="A37" s="27" t="n">
        <v>7</v>
      </c>
      <c r="B37" s="79" t="inlineStr">
        <is>
          <t>Remote</t>
        </is>
      </c>
      <c r="C37" s="62" t="inlineStr">
        <is>
          <t>—</t>
        </is>
      </c>
      <c r="D37" s="62" t="inlineStr">
        <is>
          <t>23/06/2025</t>
        </is>
      </c>
      <c r="E37" s="80" t="inlineStr">
        <is>
          <t>Remote Support</t>
        </is>
      </c>
      <c r="F37" s="129">
        <f>HYPERLINK("Cobas6800_23Jun2025_RemoteSupport.pdf","📎 Cobas6800_23Jun2025_RemoteSupport.pdf")</f>
        <v/>
      </c>
      <c r="G37" s="40" t="n"/>
      <c r="H37" s="40" t="n"/>
      <c r="I37" s="40" t="n"/>
      <c r="J37" s="40" t="n"/>
      <c r="K37" s="40" t="n"/>
      <c r="L37" s="40" t="n"/>
      <c r="M37" s="41" t="n"/>
    </row>
    <row r="38" ht="28" customHeight="1">
      <c r="A38" s="68" t="n">
        <v>8</v>
      </c>
      <c r="B38" s="82" t="inlineStr">
        <is>
          <t>Remote</t>
        </is>
      </c>
      <c r="C38" s="69" t="inlineStr">
        <is>
          <t>—</t>
        </is>
      </c>
      <c r="D38" s="69" t="inlineStr">
        <is>
          <t>24/06/2025</t>
        </is>
      </c>
      <c r="E38" s="83" t="inlineStr">
        <is>
          <t>Remote Support — Transfer error HPV</t>
        </is>
      </c>
      <c r="F38" s="129">
        <f>HYPERLINK("Cobas6800_24Jun2025_RemoteSupport.pdf","📎 Cobas6800_24Jun2025_RemoteSupport.pdf")</f>
        <v/>
      </c>
      <c r="G38" s="40" t="n"/>
      <c r="H38" s="40" t="n"/>
      <c r="I38" s="40" t="n"/>
      <c r="J38" s="40" t="n"/>
      <c r="K38" s="40" t="n"/>
      <c r="L38" s="40" t="n"/>
      <c r="M38" s="41" t="n"/>
    </row>
    <row r="39" ht="28" customHeight="1">
      <c r="A39" s="27" t="n">
        <v>9</v>
      </c>
      <c r="B39" s="79" t="inlineStr">
        <is>
          <t>Service Report</t>
        </is>
      </c>
      <c r="C39" s="62" t="inlineStr">
        <is>
          <t>—</t>
        </is>
      </c>
      <c r="D39" s="62" t="inlineStr">
        <is>
          <t>27/06/2025</t>
        </is>
      </c>
      <c r="E39" s="80" t="inlineStr">
        <is>
          <t>Courtesy Visit</t>
        </is>
      </c>
      <c r="F39" s="129">
        <f>HYPERLINK("Cobas6800_27Jun2025_CourtesyVisit.pdf","📎 Cobas6800_27Jun2025_CourtesyVisit.pdf")</f>
        <v/>
      </c>
      <c r="G39" s="40" t="n"/>
      <c r="H39" s="40" t="n"/>
      <c r="I39" s="40" t="n"/>
      <c r="J39" s="40" t="n"/>
      <c r="K39" s="40" t="n"/>
      <c r="L39" s="40" t="n"/>
      <c r="M39" s="41" t="n"/>
    </row>
    <row r="40" ht="28" customHeight="1">
      <c r="A40" s="68" t="n">
        <v>10</v>
      </c>
      <c r="B40" s="82" t="inlineStr">
        <is>
          <t>Remote</t>
        </is>
      </c>
      <c r="C40" s="69" t="inlineStr">
        <is>
          <t>—</t>
        </is>
      </c>
      <c r="D40" s="69" t="inlineStr">
        <is>
          <t>29/07/2025</t>
        </is>
      </c>
      <c r="E40" s="83" t="inlineStr">
        <is>
          <t>Remote Support</t>
        </is>
      </c>
      <c r="F40" s="129">
        <f>HYPERLINK("Cobas6800_29Jul2025_RemoteSupport.pdf","📎 Cobas6800_29Jul2025_RemoteSupport.pdf")</f>
        <v/>
      </c>
      <c r="G40" s="40" t="n"/>
      <c r="H40" s="40" t="n"/>
      <c r="I40" s="40" t="n"/>
      <c r="J40" s="40" t="n"/>
      <c r="K40" s="40" t="n"/>
      <c r="L40" s="40" t="n"/>
      <c r="M40" s="41" t="n"/>
    </row>
    <row r="41" ht="28" customHeight="1">
      <c r="A41" s="27" t="n">
        <v>11</v>
      </c>
      <c r="B41" s="79" t="inlineStr">
        <is>
          <t>Service Report</t>
        </is>
      </c>
      <c r="C41" s="62" t="inlineStr">
        <is>
          <t>—</t>
        </is>
      </c>
      <c r="D41" s="62" t="inlineStr">
        <is>
          <t>17/08/2025</t>
        </is>
      </c>
      <c r="E41" s="80" t="inlineStr">
        <is>
          <t>Service Visit — Backup failed</t>
        </is>
      </c>
      <c r="F41" s="129">
        <f>HYPERLINK("Cobas6800_17Aug2025_ServiceVisit.pdf","📎 Cobas6800_17Aug2025_ServiceVisit.pdf")</f>
        <v/>
      </c>
      <c r="G41" s="40" t="n"/>
      <c r="H41" s="40" t="n"/>
      <c r="I41" s="40" t="n"/>
      <c r="J41" s="40" t="n"/>
      <c r="K41" s="40" t="n"/>
      <c r="L41" s="40" t="n"/>
      <c r="M41" s="41" t="n"/>
    </row>
    <row r="42" ht="28" customHeight="1">
      <c r="A42" s="68" t="n">
        <v>12</v>
      </c>
      <c r="B42" s="82" t="inlineStr">
        <is>
          <t>Service Report</t>
        </is>
      </c>
      <c r="C42" s="69" t="inlineStr">
        <is>
          <t>—</t>
        </is>
      </c>
      <c r="D42" s="69" t="inlineStr">
        <is>
          <t>26/08/2025</t>
        </is>
      </c>
      <c r="E42" s="83" t="inlineStr">
        <is>
          <t>Service Visit — Processing module error</t>
        </is>
      </c>
      <c r="F42" s="129">
        <f>HYPERLINK("Cobas6800_26Aug2025_ServiceVisit.pdf","📎 Cobas6800_26Aug2025_ServiceVisit.pdf")</f>
        <v/>
      </c>
      <c r="G42" s="40" t="n"/>
      <c r="H42" s="40" t="n"/>
      <c r="I42" s="40" t="n"/>
      <c r="J42" s="40" t="n"/>
      <c r="K42" s="40" t="n"/>
      <c r="L42" s="40" t="n"/>
      <c r="M42" s="41" t="n"/>
    </row>
    <row r="43" ht="28" customHeight="1">
      <c r="A43" s="27" t="n">
        <v>13</v>
      </c>
      <c r="B43" s="79" t="inlineStr">
        <is>
          <t>Service Report</t>
        </is>
      </c>
      <c r="C43" s="62" t="inlineStr">
        <is>
          <t>WO-34968781</t>
        </is>
      </c>
      <c r="D43" s="62" t="inlineStr">
        <is>
          <t>03/12/2025</t>
        </is>
      </c>
      <c r="E43" s="80" t="inlineStr">
        <is>
          <t>Service Visit — Supply on processing plate</t>
        </is>
      </c>
      <c r="F43" s="129">
        <f>HYPERLINK("Cobas6800_03Dec2025_ServiceVisit.pdf","📎 Cobas6800_03Dec2025_ServiceVisit.pdf")</f>
        <v/>
      </c>
      <c r="G43" s="40" t="n"/>
      <c r="H43" s="40" t="n"/>
      <c r="I43" s="40" t="n"/>
      <c r="J43" s="40" t="n"/>
      <c r="K43" s="40" t="n"/>
      <c r="L43" s="40" t="n"/>
      <c r="M43" s="41" t="n"/>
    </row>
    <row r="44" ht="28" customHeight="1">
      <c r="A44" s="68" t="n">
        <v>14</v>
      </c>
      <c r="B44" s="82" t="inlineStr">
        <is>
          <t>Service Report</t>
        </is>
      </c>
      <c r="C44" s="69" t="inlineStr">
        <is>
          <t>—</t>
        </is>
      </c>
      <c r="D44" s="69" t="inlineStr">
        <is>
          <t>17/12/2025</t>
        </is>
      </c>
      <c r="E44" s="83" t="inlineStr">
        <is>
          <t>Service Visit ธ.ค.68</t>
        </is>
      </c>
      <c r="F44" s="129">
        <f>HYPERLINK("Cobas6800_17Dec2025_ServiceVisit.pdf","📎 Cobas6800_17Dec2025_ServiceVisit.pdf")</f>
        <v/>
      </c>
      <c r="G44" s="40" t="n"/>
      <c r="H44" s="40" t="n"/>
      <c r="I44" s="40" t="n"/>
      <c r="J44" s="40" t="n"/>
      <c r="K44" s="40" t="n"/>
      <c r="L44" s="40" t="n"/>
      <c r="M44" s="41" t="n"/>
    </row>
    <row r="45" ht="28" customHeight="1">
      <c r="A45" s="27" t="n">
        <v>15</v>
      </c>
      <c r="B45" s="79" t="inlineStr">
        <is>
          <t>Service Report</t>
        </is>
      </c>
      <c r="C45" s="62" t="inlineStr">
        <is>
          <t>—</t>
        </is>
      </c>
      <c r="D45" s="62" t="inlineStr">
        <is>
          <t>25/02/2026</t>
        </is>
      </c>
      <c r="E45" s="80" t="inlineStr">
        <is>
          <t>Service Visit — Transfer error HIV</t>
        </is>
      </c>
      <c r="F45" s="129">
        <f>HYPERLINK("Cobas6800_25Feb2026_ServiceVisit.pdf","📎 Cobas6800_25Feb2026_ServiceVisit.pdf")</f>
        <v/>
      </c>
      <c r="G45" s="40" t="n"/>
      <c r="H45" s="40" t="n"/>
      <c r="I45" s="40" t="n"/>
      <c r="J45" s="40" t="n"/>
      <c r="K45" s="40" t="n"/>
      <c r="L45" s="40" t="n"/>
      <c r="M45" s="41" t="n"/>
    </row>
    <row r="46" ht="28" customHeight="1">
      <c r="A46" s="68" t="n">
        <v>16</v>
      </c>
      <c r="B46" s="82" t="inlineStr">
        <is>
          <t>Remote</t>
        </is>
      </c>
      <c r="C46" s="69" t="inlineStr">
        <is>
          <t>WO-35857115</t>
        </is>
      </c>
      <c r="D46" s="69" t="inlineStr">
        <is>
          <t>10/03/2026</t>
        </is>
      </c>
      <c r="E46" s="83" t="inlineStr">
        <is>
          <t>Remote Support — HPV ผิดปกติ</t>
        </is>
      </c>
      <c r="F46" s="129">
        <f>HYPERLINK("Cobas6800_10Mar2026_RemoteSupport.pdf","📎 Cobas6800_10Mar2026_RemoteSupport.pdf")</f>
        <v/>
      </c>
      <c r="G46" s="40" t="n"/>
      <c r="H46" s="40" t="n"/>
      <c r="I46" s="40" t="n"/>
      <c r="J46" s="40" t="n"/>
      <c r="K46" s="40" t="n"/>
      <c r="L46" s="40" t="n"/>
      <c r="M46" s="41" t="n"/>
    </row>
    <row r="47" ht="28" customHeight="1">
      <c r="A47" s="27" t="n">
        <v>17</v>
      </c>
      <c r="B47" s="79" t="inlineStr">
        <is>
          <t>Service Report</t>
        </is>
      </c>
      <c r="C47" s="62" t="inlineStr">
        <is>
          <t>—</t>
        </is>
      </c>
      <c r="D47" s="62" t="inlineStr">
        <is>
          <t>16/03/2026</t>
        </is>
      </c>
      <c r="E47" s="80" t="inlineStr">
        <is>
          <t>Service Visit — Transfer module repair</t>
        </is>
      </c>
      <c r="F47" s="129">
        <f>HYPERLINK("Cobas6800_16Mar2026_ServiceVisit.pdf","📎 Cobas6800_16Mar2026_ServiceVisit.pdf")</f>
        <v/>
      </c>
      <c r="G47" s="40" t="n"/>
      <c r="H47" s="40" t="n"/>
      <c r="I47" s="40" t="n"/>
      <c r="J47" s="40" t="n"/>
      <c r="K47" s="40" t="n"/>
      <c r="L47" s="40" t="n"/>
      <c r="M47" s="41" t="n"/>
    </row>
    <row r="48" ht="28" customHeight="1">
      <c r="A48" s="68" t="n">
        <v>18</v>
      </c>
      <c r="B48" s="82" t="inlineStr">
        <is>
          <t>Remote</t>
        </is>
      </c>
      <c r="C48" s="69" t="inlineStr">
        <is>
          <t>WO-36576697</t>
        </is>
      </c>
      <c r="D48" s="69" t="inlineStr">
        <is>
          <t>11/05/2026</t>
        </is>
      </c>
      <c r="E48" s="83" t="inlineStr">
        <is>
          <t>Remote Support — Initialize error</t>
        </is>
      </c>
      <c r="F48" s="129">
        <f>HYPERLINK("Cobas6800_11May2026_RemoteSupport.pdf","📎 Cobas6800_11May2026_RemoteSupport.pdf")</f>
        <v/>
      </c>
      <c r="G48" s="40" t="n"/>
      <c r="H48" s="40" t="n"/>
      <c r="I48" s="40" t="n"/>
      <c r="J48" s="40" t="n"/>
      <c r="K48" s="40" t="n"/>
      <c r="L48" s="40" t="n"/>
      <c r="M48" s="41" t="n"/>
    </row>
    <row r="49" ht="28" customHeight="1">
      <c r="A49" s="27" t="n">
        <v>19</v>
      </c>
      <c r="B49" s="79" t="inlineStr">
        <is>
          <t>Maintenance Plan</t>
        </is>
      </c>
      <c r="C49" s="62" t="inlineStr">
        <is>
          <t>—</t>
        </is>
      </c>
      <c r="D49" s="62" t="inlineStr">
        <is>
          <t>12/01/2569</t>
        </is>
      </c>
      <c r="E49" s="80" t="inlineStr">
        <is>
          <t>แผนบำรุงรักษา Roche 2569</t>
        </is>
      </c>
      <c r="F49" s="129">
        <f>HYPERLINK("Cobas_MaintenancePlan_2569.pdf","📎 Cobas_MaintenancePlan_2569.pdf")</f>
        <v/>
      </c>
      <c r="G49" s="40" t="n"/>
      <c r="H49" s="40" t="n"/>
      <c r="I49" s="40" t="n"/>
      <c r="J49" s="40" t="n"/>
      <c r="K49" s="40" t="n"/>
      <c r="L49" s="40" t="n"/>
      <c r="M49" s="41" t="n"/>
    </row>
    <row r="50" ht="28" customHeight="1">
      <c r="A50" s="68" t="n">
        <v>20</v>
      </c>
      <c r="B50" s="82" t="inlineStr">
        <is>
          <t>Service Plan</t>
        </is>
      </c>
      <c r="C50" s="69" t="inlineStr">
        <is>
          <t>—</t>
        </is>
      </c>
      <c r="D50" s="69" t="inlineStr">
        <is>
          <t>12/01/2569</t>
        </is>
      </c>
      <c r="E50" s="83" t="inlineStr">
        <is>
          <t>Service Plan Roche 2569</t>
        </is>
      </c>
      <c r="F50" s="129">
        <f>HYPERLINK("Cobas_ServicePlan_2569.pdf","📎 Cobas_ServicePlan_2569.pdf")</f>
        <v/>
      </c>
      <c r="G50" s="40" t="n"/>
      <c r="H50" s="40" t="n"/>
      <c r="I50" s="40" t="n"/>
      <c r="J50" s="40" t="n"/>
      <c r="K50" s="40" t="n"/>
      <c r="L50" s="40" t="n"/>
      <c r="M50" s="41" t="n"/>
    </row>
    <row r="51" ht="18" customHeight="1">
      <c r="A51" s="84" t="inlineStr">
        <is>
          <t xml:space="preserve">  ⚠  ไฟล์ PDF ต้องอยู่ใน folder เดียวกับ Excel นี้จึงจะคลิกเปิดได้</t>
        </is>
      </c>
      <c r="B51" s="40" t="n"/>
      <c r="C51" s="40" t="n"/>
      <c r="D51" s="40" t="n"/>
      <c r="E51" s="40" t="n"/>
      <c r="F51" s="40" t="n"/>
      <c r="G51" s="40" t="n"/>
      <c r="H51" s="40" t="n"/>
      <c r="I51" s="40" t="n"/>
      <c r="J51" s="40" t="n"/>
      <c r="K51" s="40" t="n"/>
      <c r="L51" s="40" t="n"/>
      <c r="M51" s="4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</sheetData>
  <mergeCells count="40">
    <mergeCell ref="C6:D6"/>
    <mergeCell ref="I6:J6"/>
    <mergeCell ref="F44:M44"/>
    <mergeCell ref="A8:M8"/>
    <mergeCell ref="C5:D5"/>
    <mergeCell ref="F34:M34"/>
    <mergeCell ref="E5:F5"/>
    <mergeCell ref="A29:M29"/>
    <mergeCell ref="A6:B6"/>
    <mergeCell ref="F40:M40"/>
    <mergeCell ref="A7:B7"/>
    <mergeCell ref="G7:H7"/>
    <mergeCell ref="I7:J7"/>
    <mergeCell ref="F33:M33"/>
    <mergeCell ref="F36:M36"/>
    <mergeCell ref="G6:H6"/>
    <mergeCell ref="F42:M42"/>
    <mergeCell ref="F45:M45"/>
    <mergeCell ref="F41:M41"/>
    <mergeCell ref="A51:M51"/>
    <mergeCell ref="F32:M32"/>
    <mergeCell ref="F35:M35"/>
    <mergeCell ref="F50:M50"/>
    <mergeCell ref="E6:F6"/>
    <mergeCell ref="F47:M47"/>
    <mergeCell ref="A5:B5"/>
    <mergeCell ref="G5:H5"/>
    <mergeCell ref="F38:M38"/>
    <mergeCell ref="I5:J5"/>
    <mergeCell ref="F46:M46"/>
    <mergeCell ref="F31:M31"/>
    <mergeCell ref="F43:M43"/>
    <mergeCell ref="C7:D7"/>
    <mergeCell ref="F48:M48"/>
    <mergeCell ref="E7:F7"/>
    <mergeCell ref="F37:M37"/>
    <mergeCell ref="F39:M39"/>
    <mergeCell ref="A3:M3"/>
    <mergeCell ref="F49:M49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B8CB8"/>
    <outlinePr summaryBelow="1" summaryRight="1"/>
    <pageSetUpPr/>
  </sheetPr>
  <dimension ref="A1:G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44" customWidth="1" min="4" max="4"/>
    <col width="44" customWidth="1" min="5" max="5"/>
    <col width="10" customWidth="1" min="6" max="6"/>
    <col width="28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2" ht="48" customHeight="1">
      <c r="A2" s="58" t="inlineStr">
        <is>
          <t xml:space="preserve">  🔵  Roche Diagnostics (Thailand)  ·  cobas® z 480</t>
        </is>
      </c>
      <c r="B2" s="40" t="n"/>
      <c r="C2" s="40" t="n"/>
      <c r="D2" s="40" t="n"/>
      <c r="E2" s="40" t="n"/>
      <c r="F2" s="40" t="n"/>
      <c r="G2" s="41" t="n"/>
    </row>
    <row r="3" ht="22" customHeight="1">
      <c r="A3" s="59" t="inlineStr">
        <is>
          <t xml:space="preserve">  S/N: 54632   ·   รพ.พระจอมเกล้า เพชรบุรี   ·   Hotline: 1800-0193-99</t>
        </is>
      </c>
      <c r="B3" s="40" t="n"/>
      <c r="C3" s="40" t="n"/>
      <c r="D3" s="40" t="n"/>
      <c r="E3" s="40" t="n"/>
      <c r="F3" s="40" t="n"/>
      <c r="G3" s="41" t="n"/>
    </row>
    <row r="4" ht="8" customHeight="1">
      <c r="A4" s="1" t="n"/>
      <c r="B4" s="1" t="n"/>
      <c r="C4" s="1" t="n"/>
      <c r="D4" s="1" t="n"/>
      <c r="E4" s="1" t="n"/>
      <c r="F4" s="1" t="n"/>
      <c r="G4" s="1" t="n"/>
    </row>
    <row r="5" ht="46" customHeight="1">
      <c r="A5" s="4" t="inlineStr">
        <is>
          <t>✅  1</t>
        </is>
      </c>
      <c r="B5" s="40" t="n"/>
      <c r="C5" s="41" t="n"/>
      <c r="D5" s="5" t="inlineStr">
        <is>
          <t>📅  1/ปี</t>
        </is>
      </c>
      <c r="E5" s="40" t="n"/>
      <c r="F5" s="41" t="n"/>
      <c r="G5" s="1" t="n"/>
    </row>
    <row r="6" ht="20" customHeight="1">
      <c r="A6" s="10" t="inlineStr">
        <is>
          <t>PM Visit</t>
        </is>
      </c>
      <c r="B6" s="40" t="n"/>
      <c r="C6" s="41" t="n"/>
      <c r="D6" s="11" t="inlineStr">
        <is>
          <t>ความถี่ PM</t>
        </is>
      </c>
      <c r="E6" s="40" t="n"/>
      <c r="F6" s="41" t="n"/>
      <c r="G6" s="1" t="n"/>
    </row>
    <row r="7" ht="8" customHeight="1">
      <c r="A7" s="16" t="n"/>
      <c r="B7" s="40" t="n"/>
      <c r="C7" s="41" t="n"/>
      <c r="D7" s="17" t="n"/>
      <c r="E7" s="40" t="n"/>
      <c r="F7" s="41" t="n"/>
      <c r="G7" s="1" t="n"/>
    </row>
    <row r="8" ht="24" customHeight="1">
      <c r="A8" s="60" t="inlineStr">
        <is>
          <t xml:space="preserve">  📋  ประวัติการบริการ (Service History)</t>
        </is>
      </c>
      <c r="B8" s="40" t="n"/>
      <c r="C8" s="40" t="n"/>
      <c r="D8" s="40" t="n"/>
      <c r="E8" s="40" t="n"/>
      <c r="F8" s="40" t="n"/>
      <c r="G8" s="41" t="n"/>
    </row>
    <row r="9" ht="32" customHeight="1">
      <c r="A9" s="61" t="inlineStr">
        <is>
          <t>#</t>
        </is>
      </c>
      <c r="B9" s="61" t="inlineStr">
        <is>
          <t>วันที่</t>
        </is>
      </c>
      <c r="C9" s="61" t="inlineStr">
        <is>
          <t>ประเภท</t>
        </is>
      </c>
      <c r="D9" s="61" t="inlineStr">
        <is>
          <t>อาการ / Issue</t>
        </is>
      </c>
      <c r="E9" s="61" t="inlineStr">
        <is>
          <t>งานที่ดำเนินการ</t>
        </is>
      </c>
      <c r="F9" s="61" t="inlineStr">
        <is>
          <t>ชั่วโมง</t>
        </is>
      </c>
      <c r="G9" s="61" t="inlineStr">
        <is>
          <t>ช่าง</t>
        </is>
      </c>
    </row>
    <row r="10" ht="38" customHeight="1">
      <c r="A10" s="27" t="n">
        <v>1</v>
      </c>
      <c r="B10" s="66" t="inlineStr">
        <is>
          <t>27/05/2025</t>
        </is>
      </c>
      <c r="C10" s="76" t="inlineStr">
        <is>
          <t>PM Visit</t>
        </is>
      </c>
      <c r="D10" s="65" t="inlineStr">
        <is>
          <t>PM ครั้งที่ 1/2568 ตามแผน</t>
        </is>
      </c>
      <c r="E10" s="65" t="inlineStr">
        <is>
          <t>Periodic Maintenance — ดำเนินการพร้อม cobas 6800</t>
        </is>
      </c>
      <c r="F10" s="66" t="inlineStr">
        <is>
          <t>—</t>
        </is>
      </c>
      <c r="G10" s="67" t="inlineStr">
        <is>
          <t>Roche FSE</t>
        </is>
      </c>
    </row>
    <row r="11" ht="8" customHeight="1">
      <c r="A11" s="1" t="n"/>
      <c r="B11" s="1" t="n"/>
      <c r="C11" s="1" t="n"/>
      <c r="D11" s="1" t="n"/>
      <c r="E11" s="1" t="n"/>
      <c r="F11" s="1" t="n"/>
      <c r="G11" s="1" t="n"/>
    </row>
    <row r="12" ht="24" customHeight="1">
      <c r="A12" s="60" t="inlineStr">
        <is>
          <t xml:space="preserve">  ✅  รายการตรวจสอบ PM (PM Checklist)</t>
        </is>
      </c>
      <c r="B12" s="40" t="n"/>
      <c r="C12" s="40" t="n"/>
      <c r="D12" s="40" t="n"/>
      <c r="E12" s="40" t="n"/>
      <c r="F12" s="40" t="n"/>
      <c r="G12" s="41" t="n"/>
    </row>
    <row r="13" ht="28" customHeight="1">
      <c r="A13" s="61" t="inlineStr">
        <is>
          <t>รายการตรวจสอบ</t>
        </is>
      </c>
      <c r="B13" s="61" t="inlineStr">
        <is>
          <t>ผล</t>
        </is>
      </c>
      <c r="C13" s="61" t="inlineStr">
        <is>
          <t>หมายเหตุ</t>
        </is>
      </c>
      <c r="D13" s="78" t="n"/>
      <c r="E13" s="78" t="n"/>
      <c r="F13" s="78" t="n"/>
      <c r="G13" s="78" t="n"/>
    </row>
    <row r="14" ht="24" customHeight="1">
      <c r="A14" s="26" t="inlineStr">
        <is>
          <t>ตรวจสอบ fluid system + sheath pressure</t>
        </is>
      </c>
      <c r="B14" s="76" t="inlineStr">
        <is>
          <t>✓ PASS</t>
        </is>
      </c>
      <c r="C14" s="85" t="inlineStr">
        <is>
          <t>ทุก PM</t>
        </is>
      </c>
      <c r="D14" s="40" t="n"/>
      <c r="E14" s="40" t="n"/>
      <c r="F14" s="40" t="n"/>
      <c r="G14" s="41" t="n"/>
    </row>
    <row r="15" ht="24" customHeight="1">
      <c r="A15" s="86" t="inlineStr">
        <is>
          <t>ตรวจสอบ optic/laser system</t>
        </is>
      </c>
      <c r="B15" s="76" t="inlineStr">
        <is>
          <t>✓ PASS</t>
        </is>
      </c>
      <c r="C15" s="87" t="inlineStr">
        <is>
          <t>ทุก PM</t>
        </is>
      </c>
      <c r="D15" s="40" t="n"/>
      <c r="E15" s="40" t="n"/>
      <c r="F15" s="40" t="n"/>
      <c r="G15" s="41" t="n"/>
    </row>
    <row r="16" ht="24" customHeight="1">
      <c r="A16" s="26" t="inlineStr">
        <is>
          <t>Beads location check</t>
        </is>
      </c>
      <c r="B16" s="76" t="inlineStr">
        <is>
          <t>✓ PASS</t>
        </is>
      </c>
      <c r="C16" s="85" t="inlineStr">
        <is>
          <t>ทุก PM</t>
        </is>
      </c>
      <c r="D16" s="40" t="n"/>
      <c r="E16" s="40" t="n"/>
      <c r="F16" s="40" t="n"/>
      <c r="G16" s="4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</row>
    <row r="18" ht="24" customHeight="1">
      <c r="A18" s="60" t="inlineStr">
        <is>
          <t xml:space="preserve">  📎  เอกสารแนบ / Attachments</t>
        </is>
      </c>
      <c r="B18" s="40" t="n"/>
      <c r="C18" s="40" t="n"/>
      <c r="D18" s="40" t="n"/>
      <c r="E18" s="40" t="n"/>
      <c r="F18" s="40" t="n"/>
      <c r="G18" s="41" t="n"/>
    </row>
    <row r="19" ht="28" customHeight="1">
      <c r="A19" s="61" t="inlineStr">
        <is>
          <t>#</t>
        </is>
      </c>
      <c r="B19" s="61" t="inlineStr">
        <is>
          <t>ประเภท</t>
        </is>
      </c>
      <c r="C19" s="61" t="inlineStr">
        <is>
          <t>Work Order</t>
        </is>
      </c>
      <c r="D19" s="61" t="inlineStr">
        <is>
          <t>วันที่</t>
        </is>
      </c>
      <c r="E19" s="61" t="inlineStr">
        <is>
          <t>คำอธิบาย</t>
        </is>
      </c>
      <c r="F19" s="61" t="inlineStr">
        <is>
          <t>📎 ไฟล์ PDF</t>
        </is>
      </c>
      <c r="G19" s="78" t="n"/>
    </row>
    <row r="20" ht="28" customHeight="1">
      <c r="A20" s="27" t="n">
        <v>1</v>
      </c>
      <c r="B20" s="79" t="inlineStr">
        <is>
          <t>PM Report</t>
        </is>
      </c>
      <c r="C20" s="62" t="inlineStr">
        <is>
          <t>—</t>
        </is>
      </c>
      <c r="D20" s="62" t="inlineStr">
        <is>
          <t>27/05/2025</t>
        </is>
      </c>
      <c r="E20" s="80" t="inlineStr">
        <is>
          <t>PM Visit ครั้งที่ 1/2568</t>
        </is>
      </c>
      <c r="F20" s="129">
        <f>HYPERLINK("CobasZ480_27May2025_PMVisit.pdf","📎 CobasZ480_27May2025_PMVisit.pdf")</f>
        <v/>
      </c>
      <c r="G20" s="41" t="n"/>
    </row>
    <row r="21" ht="28" customHeight="1">
      <c r="A21" s="68" t="n">
        <v>2</v>
      </c>
      <c r="B21" s="82" t="inlineStr">
        <is>
          <t>Maintenance Plan</t>
        </is>
      </c>
      <c r="C21" s="69" t="inlineStr">
        <is>
          <t>—</t>
        </is>
      </c>
      <c r="D21" s="69" t="inlineStr">
        <is>
          <t>12/01/2569</t>
        </is>
      </c>
      <c r="E21" s="83" t="inlineStr">
        <is>
          <t>แผนบำรุงรักษา Roche 2569</t>
        </is>
      </c>
      <c r="F21" s="129">
        <f>HYPERLINK("Cobas_MaintenancePlan_2569.pdf","📎 Cobas_MaintenancePlan_2569.pdf")</f>
        <v/>
      </c>
      <c r="G21" s="41" t="n"/>
    </row>
    <row r="22" ht="18" customHeight="1">
      <c r="A22" s="84" t="inlineStr">
        <is>
          <t xml:space="preserve">  ⚠  ไฟล์ PDF ต้องอยู่ใน folder เดียวกับ Excel นี้จึงจะคลิกเปิดได้</t>
        </is>
      </c>
      <c r="B22" s="40" t="n"/>
      <c r="C22" s="40" t="n"/>
      <c r="D22" s="40" t="n"/>
      <c r="E22" s="40" t="n"/>
      <c r="F22" s="40" t="n"/>
      <c r="G22" s="4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  <row r="80">
      <c r="A80" s="1" t="n"/>
      <c r="B80" s="1" t="n"/>
      <c r="C80" s="1" t="n"/>
      <c r="D80" s="1" t="n"/>
      <c r="E80" s="1" t="n"/>
      <c r="F80" s="1" t="n"/>
      <c r="G80" s="1" t="n"/>
    </row>
    <row r="81">
      <c r="A81" s="1" t="n"/>
      <c r="B81" s="1" t="n"/>
      <c r="C81" s="1" t="n"/>
      <c r="D81" s="1" t="n"/>
      <c r="E81" s="1" t="n"/>
      <c r="F81" s="1" t="n"/>
      <c r="G81" s="1" t="n"/>
    </row>
    <row r="82">
      <c r="A82" s="1" t="n"/>
      <c r="B82" s="1" t="n"/>
      <c r="C82" s="1" t="n"/>
      <c r="D82" s="1" t="n"/>
      <c r="E82" s="1" t="n"/>
      <c r="F82" s="1" t="n"/>
      <c r="G82" s="1" t="n"/>
    </row>
    <row r="83">
      <c r="A83" s="1" t="n"/>
      <c r="B83" s="1" t="n"/>
      <c r="C83" s="1" t="n"/>
      <c r="D83" s="1" t="n"/>
      <c r="E83" s="1" t="n"/>
      <c r="F83" s="1" t="n"/>
      <c r="G83" s="1" t="n"/>
    </row>
    <row r="84">
      <c r="A84" s="1" t="n"/>
      <c r="B84" s="1" t="n"/>
      <c r="C84" s="1" t="n"/>
      <c r="D84" s="1" t="n"/>
      <c r="E84" s="1" t="n"/>
      <c r="F84" s="1" t="n"/>
      <c r="G84" s="1" t="n"/>
    </row>
    <row r="85">
      <c r="A85" s="1" t="n"/>
      <c r="B85" s="1" t="n"/>
      <c r="C85" s="1" t="n"/>
      <c r="D85" s="1" t="n"/>
      <c r="E85" s="1" t="n"/>
      <c r="F85" s="1" t="n"/>
      <c r="G85" s="1" t="n"/>
    </row>
    <row r="86">
      <c r="A86" s="1" t="n"/>
      <c r="B86" s="1" t="n"/>
      <c r="C86" s="1" t="n"/>
      <c r="D86" s="1" t="n"/>
      <c r="E86" s="1" t="n"/>
      <c r="F86" s="1" t="n"/>
      <c r="G86" s="1" t="n"/>
    </row>
    <row r="87">
      <c r="A87" s="1" t="n"/>
      <c r="B87" s="1" t="n"/>
      <c r="C87" s="1" t="n"/>
      <c r="D87" s="1" t="n"/>
      <c r="E87" s="1" t="n"/>
      <c r="F87" s="1" t="n"/>
      <c r="G87" s="1" t="n"/>
    </row>
    <row r="88">
      <c r="A88" s="1" t="n"/>
      <c r="B88" s="1" t="n"/>
      <c r="C88" s="1" t="n"/>
      <c r="D88" s="1" t="n"/>
      <c r="E88" s="1" t="n"/>
      <c r="F88" s="1" t="n"/>
      <c r="G88" s="1" t="n"/>
    </row>
    <row r="89">
      <c r="A89" s="1" t="n"/>
      <c r="B89" s="1" t="n"/>
      <c r="C89" s="1" t="n"/>
      <c r="D89" s="1" t="n"/>
      <c r="E89" s="1" t="n"/>
      <c r="F89" s="1" t="n"/>
      <c r="G89" s="1" t="n"/>
    </row>
    <row r="90">
      <c r="A90" s="1" t="n"/>
      <c r="B90" s="1" t="n"/>
      <c r="C90" s="1" t="n"/>
      <c r="D90" s="1" t="n"/>
      <c r="E90" s="1" t="n"/>
      <c r="F90" s="1" t="n"/>
      <c r="G90" s="1" t="n"/>
    </row>
    <row r="91">
      <c r="A91" s="1" t="n"/>
      <c r="B91" s="1" t="n"/>
      <c r="C91" s="1" t="n"/>
      <c r="D91" s="1" t="n"/>
      <c r="E91" s="1" t="n"/>
      <c r="F91" s="1" t="n"/>
      <c r="G91" s="1" t="n"/>
    </row>
    <row r="92">
      <c r="A92" s="1" t="n"/>
      <c r="B92" s="1" t="n"/>
      <c r="C92" s="1" t="n"/>
      <c r="D92" s="1" t="n"/>
      <c r="E92" s="1" t="n"/>
      <c r="F92" s="1" t="n"/>
      <c r="G92" s="1" t="n"/>
    </row>
    <row r="93">
      <c r="A93" s="1" t="n"/>
      <c r="B93" s="1" t="n"/>
      <c r="C93" s="1" t="n"/>
      <c r="D93" s="1" t="n"/>
      <c r="E93" s="1" t="n"/>
      <c r="F93" s="1" t="n"/>
      <c r="G93" s="1" t="n"/>
    </row>
    <row r="94">
      <c r="A94" s="1" t="n"/>
      <c r="B94" s="1" t="n"/>
      <c r="C94" s="1" t="n"/>
      <c r="D94" s="1" t="n"/>
      <c r="E94" s="1" t="n"/>
      <c r="F94" s="1" t="n"/>
      <c r="G94" s="1" t="n"/>
    </row>
    <row r="95">
      <c r="A95" s="1" t="n"/>
      <c r="B95" s="1" t="n"/>
      <c r="C95" s="1" t="n"/>
      <c r="D95" s="1" t="n"/>
      <c r="E95" s="1" t="n"/>
      <c r="F95" s="1" t="n"/>
      <c r="G95" s="1" t="n"/>
    </row>
    <row r="96">
      <c r="A96" s="1" t="n"/>
      <c r="B96" s="1" t="n"/>
      <c r="C96" s="1" t="n"/>
      <c r="D96" s="1" t="n"/>
      <c r="E96" s="1" t="n"/>
      <c r="F96" s="1" t="n"/>
      <c r="G96" s="1" t="n"/>
    </row>
    <row r="97">
      <c r="A97" s="1" t="n"/>
      <c r="B97" s="1" t="n"/>
      <c r="C97" s="1" t="n"/>
      <c r="D97" s="1" t="n"/>
      <c r="E97" s="1" t="n"/>
      <c r="F97" s="1" t="n"/>
      <c r="G97" s="1" t="n"/>
    </row>
    <row r="98">
      <c r="A98" s="1" t="n"/>
      <c r="B98" s="1" t="n"/>
      <c r="C98" s="1" t="n"/>
      <c r="D98" s="1" t="n"/>
      <c r="E98" s="1" t="n"/>
      <c r="F98" s="1" t="n"/>
      <c r="G98" s="1" t="n"/>
    </row>
    <row r="99">
      <c r="A99" s="1" t="n"/>
      <c r="B99" s="1" t="n"/>
      <c r="C99" s="1" t="n"/>
      <c r="D99" s="1" t="n"/>
      <c r="E99" s="1" t="n"/>
      <c r="F99" s="1" t="n"/>
      <c r="G99" s="1" t="n"/>
    </row>
    <row r="100">
      <c r="A100" s="1" t="n"/>
      <c r="B100" s="1" t="n"/>
      <c r="C100" s="1" t="n"/>
      <c r="D100" s="1" t="n"/>
      <c r="E100" s="1" t="n"/>
      <c r="F100" s="1" t="n"/>
      <c r="G100" s="1" t="n"/>
    </row>
    <row r="101">
      <c r="A101" s="1" t="n"/>
      <c r="B101" s="1" t="n"/>
      <c r="C101" s="1" t="n"/>
      <c r="D101" s="1" t="n"/>
      <c r="E101" s="1" t="n"/>
      <c r="F101" s="1" t="n"/>
      <c r="G101" s="1" t="n"/>
    </row>
    <row r="102">
      <c r="A102" s="1" t="n"/>
      <c r="B102" s="1" t="n"/>
      <c r="C102" s="1" t="n"/>
      <c r="D102" s="1" t="n"/>
      <c r="E102" s="1" t="n"/>
      <c r="F102" s="1" t="n"/>
      <c r="G102" s="1" t="n"/>
    </row>
    <row r="103">
      <c r="A103" s="1" t="n"/>
      <c r="B103" s="1" t="n"/>
      <c r="C103" s="1" t="n"/>
      <c r="D103" s="1" t="n"/>
      <c r="E103" s="1" t="n"/>
      <c r="F103" s="1" t="n"/>
      <c r="G103" s="1" t="n"/>
    </row>
    <row r="104">
      <c r="A104" s="1" t="n"/>
      <c r="B104" s="1" t="n"/>
      <c r="C104" s="1" t="n"/>
      <c r="D104" s="1" t="n"/>
      <c r="E104" s="1" t="n"/>
      <c r="F104" s="1" t="n"/>
      <c r="G104" s="1" t="n"/>
    </row>
    <row r="105">
      <c r="A105" s="1" t="n"/>
      <c r="B105" s="1" t="n"/>
      <c r="C105" s="1" t="n"/>
      <c r="D105" s="1" t="n"/>
      <c r="E105" s="1" t="n"/>
      <c r="F105" s="1" t="n"/>
      <c r="G105" s="1" t="n"/>
    </row>
    <row r="106">
      <c r="A106" s="1" t="n"/>
      <c r="B106" s="1" t="n"/>
      <c r="C106" s="1" t="n"/>
      <c r="D106" s="1" t="n"/>
      <c r="E106" s="1" t="n"/>
      <c r="F106" s="1" t="n"/>
      <c r="G106" s="1" t="n"/>
    </row>
    <row r="107">
      <c r="A107" s="1" t="n"/>
      <c r="B107" s="1" t="n"/>
      <c r="C107" s="1" t="n"/>
      <c r="D107" s="1" t="n"/>
      <c r="E107" s="1" t="n"/>
      <c r="F107" s="1" t="n"/>
      <c r="G107" s="1" t="n"/>
    </row>
    <row r="108">
      <c r="A108" s="1" t="n"/>
      <c r="B108" s="1" t="n"/>
      <c r="C108" s="1" t="n"/>
      <c r="D108" s="1" t="n"/>
      <c r="E108" s="1" t="n"/>
      <c r="F108" s="1" t="n"/>
      <c r="G108" s="1" t="n"/>
    </row>
    <row r="109">
      <c r="A109" s="1" t="n"/>
      <c r="B109" s="1" t="n"/>
      <c r="C109" s="1" t="n"/>
      <c r="D109" s="1" t="n"/>
      <c r="E109" s="1" t="n"/>
      <c r="F109" s="1" t="n"/>
      <c r="G109" s="1" t="n"/>
    </row>
    <row r="110">
      <c r="A110" s="1" t="n"/>
      <c r="B110" s="1" t="n"/>
      <c r="C110" s="1" t="n"/>
      <c r="D110" s="1" t="n"/>
      <c r="E110" s="1" t="n"/>
      <c r="F110" s="1" t="n"/>
      <c r="G110" s="1" t="n"/>
    </row>
    <row r="111">
      <c r="A111" s="1" t="n"/>
      <c r="B111" s="1" t="n"/>
      <c r="C111" s="1" t="n"/>
      <c r="D111" s="1" t="n"/>
      <c r="E111" s="1" t="n"/>
      <c r="F111" s="1" t="n"/>
      <c r="G111" s="1" t="n"/>
    </row>
    <row r="112">
      <c r="A112" s="1" t="n"/>
      <c r="B112" s="1" t="n"/>
      <c r="C112" s="1" t="n"/>
      <c r="D112" s="1" t="n"/>
      <c r="E112" s="1" t="n"/>
      <c r="F112" s="1" t="n"/>
      <c r="G112" s="1" t="n"/>
    </row>
    <row r="113">
      <c r="A113" s="1" t="n"/>
      <c r="B113" s="1" t="n"/>
      <c r="C113" s="1" t="n"/>
      <c r="D113" s="1" t="n"/>
      <c r="E113" s="1" t="n"/>
      <c r="F113" s="1" t="n"/>
      <c r="G113" s="1" t="n"/>
    </row>
    <row r="114">
      <c r="A114" s="1" t="n"/>
      <c r="B114" s="1" t="n"/>
      <c r="C114" s="1" t="n"/>
      <c r="D114" s="1" t="n"/>
      <c r="E114" s="1" t="n"/>
      <c r="F114" s="1" t="n"/>
      <c r="G114" s="1" t="n"/>
    </row>
    <row r="115">
      <c r="A115" s="1" t="n"/>
      <c r="B115" s="1" t="n"/>
      <c r="C115" s="1" t="n"/>
      <c r="D115" s="1" t="n"/>
      <c r="E115" s="1" t="n"/>
      <c r="F115" s="1" t="n"/>
      <c r="G115" s="1" t="n"/>
    </row>
    <row r="116">
      <c r="A116" s="1" t="n"/>
      <c r="B116" s="1" t="n"/>
      <c r="C116" s="1" t="n"/>
      <c r="D116" s="1" t="n"/>
      <c r="E116" s="1" t="n"/>
      <c r="F116" s="1" t="n"/>
      <c r="G116" s="1" t="n"/>
    </row>
    <row r="117">
      <c r="A117" s="1" t="n"/>
      <c r="B117" s="1" t="n"/>
      <c r="C117" s="1" t="n"/>
      <c r="D117" s="1" t="n"/>
      <c r="E117" s="1" t="n"/>
      <c r="F117" s="1" t="n"/>
      <c r="G117" s="1" t="n"/>
    </row>
    <row r="118">
      <c r="A118" s="1" t="n"/>
      <c r="B118" s="1" t="n"/>
      <c r="C118" s="1" t="n"/>
      <c r="D118" s="1" t="n"/>
      <c r="E118" s="1" t="n"/>
      <c r="F118" s="1" t="n"/>
      <c r="G118" s="1" t="n"/>
    </row>
    <row r="119">
      <c r="A119" s="1" t="n"/>
      <c r="B119" s="1" t="n"/>
      <c r="C119" s="1" t="n"/>
      <c r="D119" s="1" t="n"/>
      <c r="E119" s="1" t="n"/>
      <c r="F119" s="1" t="n"/>
      <c r="G119" s="1" t="n"/>
    </row>
    <row r="120">
      <c r="A120" s="1" t="n"/>
      <c r="B120" s="1" t="n"/>
      <c r="C120" s="1" t="n"/>
      <c r="D120" s="1" t="n"/>
      <c r="E120" s="1" t="n"/>
      <c r="F120" s="1" t="n"/>
      <c r="G120" s="1" t="n"/>
    </row>
    <row r="121">
      <c r="A121" s="1" t="n"/>
      <c r="B121" s="1" t="n"/>
      <c r="C121" s="1" t="n"/>
      <c r="D121" s="1" t="n"/>
      <c r="E121" s="1" t="n"/>
      <c r="F121" s="1" t="n"/>
      <c r="G121" s="1" t="n"/>
    </row>
    <row r="122">
      <c r="A122" s="1" t="n"/>
      <c r="B122" s="1" t="n"/>
      <c r="C122" s="1" t="n"/>
      <c r="D122" s="1" t="n"/>
      <c r="E122" s="1" t="n"/>
      <c r="F122" s="1" t="n"/>
      <c r="G122" s="1" t="n"/>
    </row>
    <row r="123">
      <c r="A123" s="1" t="n"/>
      <c r="B123" s="1" t="n"/>
      <c r="C123" s="1" t="n"/>
      <c r="D123" s="1" t="n"/>
      <c r="E123" s="1" t="n"/>
      <c r="F123" s="1" t="n"/>
      <c r="G123" s="1" t="n"/>
    </row>
    <row r="124">
      <c r="A124" s="1" t="n"/>
      <c r="B124" s="1" t="n"/>
      <c r="C124" s="1" t="n"/>
      <c r="D124" s="1" t="n"/>
      <c r="E124" s="1" t="n"/>
      <c r="F124" s="1" t="n"/>
      <c r="G124" s="1" t="n"/>
    </row>
    <row r="125">
      <c r="A125" s="1" t="n"/>
      <c r="B125" s="1" t="n"/>
      <c r="C125" s="1" t="n"/>
      <c r="D125" s="1" t="n"/>
      <c r="E125" s="1" t="n"/>
      <c r="F125" s="1" t="n"/>
      <c r="G125" s="1" t="n"/>
    </row>
    <row r="126">
      <c r="A126" s="1" t="n"/>
      <c r="B126" s="1" t="n"/>
      <c r="C126" s="1" t="n"/>
      <c r="D126" s="1" t="n"/>
      <c r="E126" s="1" t="n"/>
      <c r="F126" s="1" t="n"/>
      <c r="G126" s="1" t="n"/>
    </row>
    <row r="127">
      <c r="A127" s="1" t="n"/>
      <c r="B127" s="1" t="n"/>
      <c r="C127" s="1" t="n"/>
      <c r="D127" s="1" t="n"/>
      <c r="E127" s="1" t="n"/>
      <c r="F127" s="1" t="n"/>
      <c r="G127" s="1" t="n"/>
    </row>
    <row r="128">
      <c r="A128" s="1" t="n"/>
      <c r="B128" s="1" t="n"/>
      <c r="C128" s="1" t="n"/>
      <c r="D128" s="1" t="n"/>
      <c r="E128" s="1" t="n"/>
      <c r="F128" s="1" t="n"/>
      <c r="G128" s="1" t="n"/>
    </row>
    <row r="129">
      <c r="A129" s="1" t="n"/>
      <c r="B129" s="1" t="n"/>
      <c r="C129" s="1" t="n"/>
      <c r="D129" s="1" t="n"/>
      <c r="E129" s="1" t="n"/>
      <c r="F129" s="1" t="n"/>
      <c r="G129" s="1" t="n"/>
    </row>
    <row r="130">
      <c r="A130" s="1" t="n"/>
      <c r="B130" s="1" t="n"/>
      <c r="C130" s="1" t="n"/>
      <c r="D130" s="1" t="n"/>
      <c r="E130" s="1" t="n"/>
      <c r="F130" s="1" t="n"/>
      <c r="G130" s="1" t="n"/>
    </row>
    <row r="131">
      <c r="A131" s="1" t="n"/>
      <c r="B131" s="1" t="n"/>
      <c r="C131" s="1" t="n"/>
      <c r="D131" s="1" t="n"/>
      <c r="E131" s="1" t="n"/>
      <c r="F131" s="1" t="n"/>
      <c r="G131" s="1" t="n"/>
    </row>
    <row r="132">
      <c r="A132" s="1" t="n"/>
      <c r="B132" s="1" t="n"/>
      <c r="C132" s="1" t="n"/>
      <c r="D132" s="1" t="n"/>
      <c r="E132" s="1" t="n"/>
      <c r="F132" s="1" t="n"/>
      <c r="G132" s="1" t="n"/>
    </row>
    <row r="133">
      <c r="A133" s="1" t="n"/>
      <c r="B133" s="1" t="n"/>
      <c r="C133" s="1" t="n"/>
      <c r="D133" s="1" t="n"/>
      <c r="E133" s="1" t="n"/>
      <c r="F133" s="1" t="n"/>
      <c r="G133" s="1" t="n"/>
    </row>
    <row r="134">
      <c r="A134" s="1" t="n"/>
      <c r="B134" s="1" t="n"/>
      <c r="C134" s="1" t="n"/>
      <c r="D134" s="1" t="n"/>
      <c r="E134" s="1" t="n"/>
      <c r="F134" s="1" t="n"/>
      <c r="G134" s="1" t="n"/>
    </row>
    <row r="135">
      <c r="A135" s="1" t="n"/>
      <c r="B135" s="1" t="n"/>
      <c r="C135" s="1" t="n"/>
      <c r="D135" s="1" t="n"/>
      <c r="E135" s="1" t="n"/>
      <c r="F135" s="1" t="n"/>
      <c r="G135" s="1" t="n"/>
    </row>
    <row r="136">
      <c r="A136" s="1" t="n"/>
      <c r="B136" s="1" t="n"/>
      <c r="C136" s="1" t="n"/>
      <c r="D136" s="1" t="n"/>
      <c r="E136" s="1" t="n"/>
      <c r="F136" s="1" t="n"/>
      <c r="G136" s="1" t="n"/>
    </row>
    <row r="137">
      <c r="A137" s="1" t="n"/>
      <c r="B137" s="1" t="n"/>
      <c r="C137" s="1" t="n"/>
      <c r="D137" s="1" t="n"/>
      <c r="E137" s="1" t="n"/>
      <c r="F137" s="1" t="n"/>
      <c r="G137" s="1" t="n"/>
    </row>
    <row r="138">
      <c r="A138" s="1" t="n"/>
      <c r="B138" s="1" t="n"/>
      <c r="C138" s="1" t="n"/>
      <c r="D138" s="1" t="n"/>
      <c r="E138" s="1" t="n"/>
      <c r="F138" s="1" t="n"/>
      <c r="G138" s="1" t="n"/>
    </row>
    <row r="139">
      <c r="A139" s="1" t="n"/>
      <c r="B139" s="1" t="n"/>
      <c r="C139" s="1" t="n"/>
      <c r="D139" s="1" t="n"/>
      <c r="E139" s="1" t="n"/>
      <c r="F139" s="1" t="n"/>
      <c r="G139" s="1" t="n"/>
    </row>
  </sheetData>
  <mergeCells count="17">
    <mergeCell ref="F21:G21"/>
    <mergeCell ref="D5:F5"/>
    <mergeCell ref="A5:C5"/>
    <mergeCell ref="A8:G8"/>
    <mergeCell ref="A3:G3"/>
    <mergeCell ref="C16:G16"/>
    <mergeCell ref="A18:G18"/>
    <mergeCell ref="C15:G15"/>
    <mergeCell ref="A6:C6"/>
    <mergeCell ref="A12:G12"/>
    <mergeCell ref="F20:G20"/>
    <mergeCell ref="A22:G22"/>
    <mergeCell ref="A2:G2"/>
    <mergeCell ref="C14:G14"/>
    <mergeCell ref="D7:F7"/>
    <mergeCell ref="A7:C7"/>
    <mergeCell ref="D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A9A6A"/>
    <outlinePr summaryBelow="1" summaryRight="1"/>
    <pageSetUpPr/>
  </sheetPr>
  <dimension ref="A1:N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10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  <col width="9" customWidth="1" min="12" max="12"/>
    <col width="10" customWidth="1" min="13" max="13"/>
    <col width="2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8" customHeight="1">
      <c r="A2" s="88" t="inlineStr">
        <is>
          <t xml:space="preserve">  🟢  Z-medic Co., Ltd.  ·  iPonatic® Portable Molecular (iPonatic III)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1" t="n"/>
    </row>
    <row r="3" ht="22" customHeight="1">
      <c r="A3" s="89" t="inlineStr">
        <is>
          <t xml:space="preserve">  S/N: Q36AE032210010130   ·   รพ.พระจอมเกล้า เพชรบุรี   ·   Tel: 0-2197-8652-3  ·  PM: 2 ครั้ง/ปี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46" customHeight="1">
      <c r="A5" s="4" t="inlineStr">
        <is>
          <t>✅  5</t>
        </is>
      </c>
      <c r="B5" s="40" t="n"/>
      <c r="C5" s="40" t="n"/>
      <c r="D5" s="41" t="n"/>
      <c r="E5" s="5" t="inlineStr">
        <is>
          <t>📅  2/ปี</t>
        </is>
      </c>
      <c r="F5" s="40" t="n"/>
      <c r="G5" s="40" t="n"/>
      <c r="H5" s="41" t="n"/>
      <c r="I5" s="6" t="inlineStr">
        <is>
          <t>🔬  PASS</t>
        </is>
      </c>
      <c r="J5" s="40" t="n"/>
      <c r="K5" s="40" t="n"/>
      <c r="L5" s="41" t="n"/>
      <c r="M5" s="1" t="n"/>
      <c r="N5" s="1" t="n"/>
    </row>
    <row r="6" ht="20" customHeight="1">
      <c r="A6" s="10" t="inlineStr">
        <is>
          <t>PM ทั้งหมด</t>
        </is>
      </c>
      <c r="B6" s="40" t="n"/>
      <c r="C6" s="40" t="n"/>
      <c r="D6" s="41" t="n"/>
      <c r="E6" s="11" t="inlineStr">
        <is>
          <t>ความถี่ PM</t>
        </is>
      </c>
      <c r="F6" s="40" t="n"/>
      <c r="G6" s="40" t="n"/>
      <c r="H6" s="41" t="n"/>
      <c r="I6" s="12" t="inlineStr">
        <is>
          <t>ทุกครั้ง</t>
        </is>
      </c>
      <c r="J6" s="40" t="n"/>
      <c r="K6" s="40" t="n"/>
      <c r="L6" s="41" t="n"/>
      <c r="M6" s="1" t="n"/>
      <c r="N6" s="1" t="n"/>
    </row>
    <row r="7" ht="8" customHeight="1">
      <c r="A7" s="16" t="n"/>
      <c r="B7" s="40" t="n"/>
      <c r="C7" s="40" t="n"/>
      <c r="D7" s="41" t="n"/>
      <c r="E7" s="17" t="n"/>
      <c r="F7" s="40" t="n"/>
      <c r="G7" s="40" t="n"/>
      <c r="H7" s="41" t="n"/>
      <c r="I7" s="18" t="n"/>
      <c r="J7" s="40" t="n"/>
      <c r="K7" s="40" t="n"/>
      <c r="L7" s="41" t="n"/>
      <c r="M7" s="1" t="n"/>
      <c r="N7" s="1" t="n"/>
    </row>
    <row r="8" ht="24" customHeight="1">
      <c r="A8" s="90" t="inlineStr">
        <is>
          <t xml:space="preserve">  📋  ประวัติการบริการ (Service History)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0" t="n"/>
      <c r="N8" s="41" t="n"/>
    </row>
    <row r="9" ht="32" customHeight="1">
      <c r="A9" s="91" t="inlineStr">
        <is>
          <t>#</t>
        </is>
      </c>
      <c r="B9" s="91" t="inlineStr">
        <is>
          <t>วันที่</t>
        </is>
      </c>
      <c r="C9" s="91" t="inlineStr">
        <is>
          <t>PM ครั้งที่</t>
        </is>
      </c>
      <c r="D9" s="91" t="inlineStr">
        <is>
          <t>App Ver.</t>
        </is>
      </c>
      <c r="E9" s="91" t="inlineStr">
        <is>
          <t>PCR FW</t>
        </is>
      </c>
      <c r="F9" s="91" t="inlineStr">
        <is>
          <t>Extract FW</t>
        </is>
      </c>
      <c r="G9" s="91" t="inlineStr">
        <is>
          <t>ทำความสะอาด
ภายนอก</t>
        </is>
      </c>
      <c r="H9" s="91" t="inlineStr">
        <is>
          <t>ทำความสะอาด
ภายใน</t>
        </is>
      </c>
      <c r="I9" s="91" t="inlineStr">
        <is>
          <t>ทำความสะอาด
Carrier</t>
        </is>
      </c>
      <c r="J9" s="91" t="inlineStr">
        <is>
          <t>Sensor
Check</t>
        </is>
      </c>
      <c r="K9" s="91" t="inlineStr">
        <is>
          <t>UV Check</t>
        </is>
      </c>
      <c r="L9" s="91" t="inlineStr">
        <is>
          <t>เปิด-ปิด
Check</t>
        </is>
      </c>
      <c r="M9" s="91" t="inlineStr">
        <is>
          <t>ผลรวม</t>
        </is>
      </c>
      <c r="N9" s="91" t="inlineStr">
        <is>
          <t>ช่าง</t>
        </is>
      </c>
    </row>
    <row r="10" ht="38" customHeight="1">
      <c r="A10" s="32" t="n">
        <v>1</v>
      </c>
      <c r="B10" s="92" t="inlineStr">
        <is>
          <t>13/02/2024</t>
        </is>
      </c>
      <c r="C10" s="32" t="inlineStr">
        <is>
          <t>PM ครั้งที่ 1
ปี 2567</t>
        </is>
      </c>
      <c r="D10" s="93" t="inlineStr">
        <is>
          <t>V1.7.0</t>
        </is>
      </c>
      <c r="E10" s="93" t="inlineStr">
        <is>
          <t>V1.1.5</t>
        </is>
      </c>
      <c r="F10" s="93" t="inlineStr">
        <is>
          <t>—</t>
        </is>
      </c>
      <c r="G10" s="76" t="inlineStr">
        <is>
          <t>✓</t>
        </is>
      </c>
      <c r="H10" s="76" t="inlineStr">
        <is>
          <t>✓</t>
        </is>
      </c>
      <c r="I10" s="76" t="inlineStr">
        <is>
          <t>✓</t>
        </is>
      </c>
      <c r="J10" s="76" t="inlineStr">
        <is>
          <t>✓</t>
        </is>
      </c>
      <c r="K10" s="76" t="inlineStr">
        <is>
          <t>✓</t>
        </is>
      </c>
      <c r="L10" s="76" t="inlineStr">
        <is>
          <t>✓</t>
        </is>
      </c>
      <c r="M10" s="76" t="inlineStr">
        <is>
          <t>PASS</t>
        </is>
      </c>
      <c r="N10" s="94" t="inlineStr">
        <is>
          <t>จารุวรรณ สายรุ่งเรืองศิลป์</t>
        </is>
      </c>
    </row>
    <row r="11" ht="38" customHeight="1">
      <c r="A11" s="95" t="n">
        <v>2</v>
      </c>
      <c r="B11" s="72" t="inlineStr">
        <is>
          <t>08/05/2024</t>
        </is>
      </c>
      <c r="C11" s="95" t="inlineStr">
        <is>
          <t>PM ครั้งที่ 2
ปี 2567</t>
        </is>
      </c>
      <c r="D11" s="96" t="inlineStr">
        <is>
          <t>V1.7.0</t>
        </is>
      </c>
      <c r="E11" s="96" t="inlineStr">
        <is>
          <t>—</t>
        </is>
      </c>
      <c r="F11" s="96" t="inlineStr">
        <is>
          <t>—</t>
        </is>
      </c>
      <c r="G11" s="76" t="inlineStr">
        <is>
          <t>✓</t>
        </is>
      </c>
      <c r="H11" s="76" t="inlineStr">
        <is>
          <t>✓</t>
        </is>
      </c>
      <c r="I11" s="76" t="inlineStr">
        <is>
          <t>✓</t>
        </is>
      </c>
      <c r="J11" s="76" t="inlineStr">
        <is>
          <t>✓</t>
        </is>
      </c>
      <c r="K11" s="76" t="inlineStr">
        <is>
          <t>✓</t>
        </is>
      </c>
      <c r="L11" s="76" t="inlineStr">
        <is>
          <t>✓</t>
        </is>
      </c>
      <c r="M11" s="76" t="inlineStr">
        <is>
          <t>PASS</t>
        </is>
      </c>
      <c r="N11" s="97" t="inlineStr">
        <is>
          <t>จารุวรรณ สายรุ่งเรืองศิลป์</t>
        </is>
      </c>
    </row>
    <row r="12" ht="38" customHeight="1">
      <c r="A12" s="32" t="n">
        <v>3</v>
      </c>
      <c r="B12" s="92" t="inlineStr">
        <is>
          <t>24/07/2024</t>
        </is>
      </c>
      <c r="C12" s="32" t="inlineStr">
        <is>
          <t>PM ครั้งที่ 3
ปี 2567</t>
        </is>
      </c>
      <c r="D12" s="93" t="inlineStr">
        <is>
          <t>—</t>
        </is>
      </c>
      <c r="E12" s="93" t="inlineStr">
        <is>
          <t>—</t>
        </is>
      </c>
      <c r="F12" s="93" t="inlineStr">
        <is>
          <t>—</t>
        </is>
      </c>
      <c r="G12" s="76" t="inlineStr">
        <is>
          <t>✓</t>
        </is>
      </c>
      <c r="H12" s="76" t="inlineStr">
        <is>
          <t>✓</t>
        </is>
      </c>
      <c r="I12" s="76" t="inlineStr">
        <is>
          <t>✓</t>
        </is>
      </c>
      <c r="J12" s="76" t="inlineStr">
        <is>
          <t>✓</t>
        </is>
      </c>
      <c r="K12" s="76" t="inlineStr">
        <is>
          <t>✓</t>
        </is>
      </c>
      <c r="L12" s="76" t="inlineStr">
        <is>
          <t>✓</t>
        </is>
      </c>
      <c r="M12" s="76" t="inlineStr">
        <is>
          <t>PASS</t>
        </is>
      </c>
      <c r="N12" s="94" t="inlineStr">
        <is>
          <t>จารุวรรณ สายรุ่งเรืองศิลป์</t>
        </is>
      </c>
    </row>
    <row r="13" ht="38" customHeight="1">
      <c r="A13" s="95" t="n">
        <v>4</v>
      </c>
      <c r="B13" s="72" t="inlineStr">
        <is>
          <t>02/10/2024</t>
        </is>
      </c>
      <c r="C13" s="95" t="inlineStr">
        <is>
          <t>PM ครั้งที่ 4
ปี 2567</t>
        </is>
      </c>
      <c r="D13" s="96" t="inlineStr">
        <is>
          <t>V1.8.0</t>
        </is>
      </c>
      <c r="E13" s="96" t="inlineStr">
        <is>
          <t>V1.1.7</t>
        </is>
      </c>
      <c r="F13" s="96" t="inlineStr">
        <is>
          <t>V1.1.6</t>
        </is>
      </c>
      <c r="G13" s="76" t="inlineStr">
        <is>
          <t>✓</t>
        </is>
      </c>
      <c r="H13" s="98" t="inlineStr">
        <is>
          <t>—</t>
        </is>
      </c>
      <c r="I13" s="76" t="inlineStr">
        <is>
          <t>✓</t>
        </is>
      </c>
      <c r="J13" s="76" t="inlineStr">
        <is>
          <t>✓</t>
        </is>
      </c>
      <c r="K13" s="76" t="inlineStr">
        <is>
          <t>✓</t>
        </is>
      </c>
      <c r="L13" s="76" t="inlineStr">
        <is>
          <t>✓</t>
        </is>
      </c>
      <c r="M13" s="76" t="inlineStr">
        <is>
          <t>PASS</t>
        </is>
      </c>
      <c r="N13" s="97" t="inlineStr">
        <is>
          <t>ธนภูมิ เจริญสุข</t>
        </is>
      </c>
    </row>
    <row r="14" ht="38" customHeight="1">
      <c r="A14" s="32" t="n">
        <v>5</v>
      </c>
      <c r="B14" s="92" t="inlineStr">
        <is>
          <t>19/01/2026</t>
        </is>
      </c>
      <c r="C14" s="32" t="inlineStr">
        <is>
          <t>PM ครั้งที่ 1
ปี 2569</t>
        </is>
      </c>
      <c r="D14" s="93" t="inlineStr">
        <is>
          <t>V1.8.3</t>
        </is>
      </c>
      <c r="E14" s="93" t="inlineStr">
        <is>
          <t>V1.1.8</t>
        </is>
      </c>
      <c r="F14" s="93" t="inlineStr">
        <is>
          <t>V1.1.7</t>
        </is>
      </c>
      <c r="G14" s="76" t="inlineStr">
        <is>
          <t>✓</t>
        </is>
      </c>
      <c r="H14" s="76" t="inlineStr">
        <is>
          <t>✓</t>
        </is>
      </c>
      <c r="I14" s="76" t="inlineStr">
        <is>
          <t>✓</t>
        </is>
      </c>
      <c r="J14" s="76" t="inlineStr">
        <is>
          <t>✓</t>
        </is>
      </c>
      <c r="K14" s="76" t="inlineStr">
        <is>
          <t>✓</t>
        </is>
      </c>
      <c r="L14" s="76" t="inlineStr">
        <is>
          <t>✓</t>
        </is>
      </c>
      <c r="M14" s="76" t="inlineStr">
        <is>
          <t>PASS</t>
        </is>
      </c>
      <c r="N14" s="94" t="inlineStr">
        <is>
          <t>สุดารัตน์ คำเลิศ</t>
        </is>
      </c>
    </row>
    <row r="15" ht="8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 ht="24" customHeight="1">
      <c r="A16" s="90" t="inlineStr">
        <is>
          <t xml:space="preserve">  ✅  รายการตรวจสอบ PM (PM Checklist)</t>
        </is>
      </c>
      <c r="B16" s="40" t="n"/>
      <c r="C16" s="40" t="n"/>
      <c r="D16" s="40" t="n"/>
      <c r="E16" s="40" t="n"/>
      <c r="F16" s="40" t="n"/>
      <c r="G16" s="40" t="n"/>
      <c r="H16" s="40" t="n"/>
      <c r="I16" s="40" t="n"/>
      <c r="J16" s="40" t="n"/>
      <c r="K16" s="40" t="n"/>
      <c r="L16" s="40" t="n"/>
      <c r="M16" s="40" t="n"/>
      <c r="N16" s="41" t="n"/>
    </row>
    <row r="17" ht="28" customHeight="1">
      <c r="A17" s="91" t="inlineStr">
        <is>
          <t>รายการตรวจสอบ</t>
        </is>
      </c>
      <c r="B17" s="91" t="inlineStr">
        <is>
          <t>ผล</t>
        </is>
      </c>
      <c r="C17" s="91" t="inlineStr">
        <is>
          <t>หมายเหตุ</t>
        </is>
      </c>
      <c r="D17" s="99" t="n"/>
      <c r="E17" s="99" t="n"/>
      <c r="F17" s="99" t="n"/>
      <c r="G17" s="99" t="n"/>
      <c r="H17" s="99" t="n"/>
      <c r="I17" s="99" t="n"/>
      <c r="J17" s="99" t="n"/>
      <c r="K17" s="99" t="n"/>
      <c r="L17" s="99" t="n"/>
      <c r="M17" s="99" t="n"/>
      <c r="N17" s="99" t="n"/>
    </row>
    <row r="18" ht="24" customHeight="1">
      <c r="A18" s="31" t="inlineStr">
        <is>
          <t>ทำความสะอาดภายนอก 70% แอลกอฮอล์</t>
        </is>
      </c>
      <c r="B18" s="76" t="inlineStr">
        <is>
          <t>✓ PASS</t>
        </is>
      </c>
      <c r="C18" s="100" t="inlineStr">
        <is>
          <t>ทุก PM</t>
        </is>
      </c>
      <c r="D18" s="40" t="n"/>
      <c r="E18" s="40" t="n"/>
      <c r="F18" s="40" t="n"/>
      <c r="G18" s="40" t="n"/>
      <c r="H18" s="40" t="n"/>
      <c r="I18" s="40" t="n"/>
      <c r="J18" s="40" t="n"/>
      <c r="K18" s="40" t="n"/>
      <c r="L18" s="40" t="n"/>
      <c r="M18" s="40" t="n"/>
      <c r="N18" s="41" t="n"/>
    </row>
    <row r="19" ht="24" customHeight="1">
      <c r="A19" s="101" t="inlineStr">
        <is>
          <t>ทำความสะอาดช่องใส่ Carrier set</t>
        </is>
      </c>
      <c r="B19" s="76" t="inlineStr">
        <is>
          <t>✓ PASS</t>
        </is>
      </c>
      <c r="C19" s="87" t="inlineStr">
        <is>
          <t>ทุก PM</t>
        </is>
      </c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1" t="n"/>
    </row>
    <row r="20" ht="24" customHeight="1">
      <c r="A20" s="31" t="inlineStr">
        <is>
          <t>ตรวจสอบ Sensor ช่องใส่ Carrier set</t>
        </is>
      </c>
      <c r="B20" s="76" t="inlineStr">
        <is>
          <t>✓ PASS</t>
        </is>
      </c>
      <c r="C20" s="100" t="inlineStr">
        <is>
          <t>ทุก PM</t>
        </is>
      </c>
      <c r="D20" s="40" t="n"/>
      <c r="E20" s="40" t="n"/>
      <c r="F20" s="40" t="n"/>
      <c r="G20" s="40" t="n"/>
      <c r="H20" s="40" t="n"/>
      <c r="I20" s="40" t="n"/>
      <c r="J20" s="40" t="n"/>
      <c r="K20" s="40" t="n"/>
      <c r="L20" s="40" t="n"/>
      <c r="M20" s="40" t="n"/>
      <c r="N20" s="41" t="n"/>
    </row>
    <row r="21" ht="24" customHeight="1">
      <c r="A21" s="101" t="inlineStr">
        <is>
          <t>ตรวจสอบ UV</t>
        </is>
      </c>
      <c r="B21" s="76" t="inlineStr">
        <is>
          <t>✓ PASS</t>
        </is>
      </c>
      <c r="C21" s="87" t="inlineStr">
        <is>
          <t>ทุก PM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1" t="n"/>
    </row>
    <row r="22" ht="24" customHeight="1">
      <c r="A22" s="31" t="inlineStr">
        <is>
          <t>ตรวจสอบการเปิด-ปิดเครื่อง</t>
        </is>
      </c>
      <c r="B22" s="76" t="inlineStr">
        <is>
          <t>✓ PASS</t>
        </is>
      </c>
      <c r="C22" s="100" t="inlineStr">
        <is>
          <t>ทุก PM</t>
        </is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1" t="n"/>
    </row>
    <row r="23" ht="8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 ht="24" customHeight="1">
      <c r="A24" s="90" t="inlineStr">
        <is>
          <t xml:space="preserve">  📎  เอกสารแนบ / Attachments</t>
        </is>
      </c>
      <c r="B24" s="40" t="n"/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1" t="n"/>
    </row>
    <row r="25" ht="28" customHeight="1">
      <c r="A25" s="91" t="inlineStr">
        <is>
          <t>#</t>
        </is>
      </c>
      <c r="B25" s="91" t="inlineStr">
        <is>
          <t>ประเภท</t>
        </is>
      </c>
      <c r="C25" s="91" t="inlineStr">
        <is>
          <t>Work Order</t>
        </is>
      </c>
      <c r="D25" s="91" t="inlineStr">
        <is>
          <t>วันที่</t>
        </is>
      </c>
      <c r="E25" s="91" t="inlineStr">
        <is>
          <t>คำอธิบาย</t>
        </is>
      </c>
      <c r="F25" s="91" t="inlineStr">
        <is>
          <t>📎 ไฟล์ PDF</t>
        </is>
      </c>
      <c r="G25" s="99" t="n"/>
      <c r="H25" s="99" t="n"/>
      <c r="I25" s="99" t="n"/>
      <c r="J25" s="99" t="n"/>
      <c r="K25" s="99" t="n"/>
      <c r="L25" s="99" t="n"/>
      <c r="M25" s="99" t="n"/>
      <c r="N25" s="99" t="n"/>
    </row>
    <row r="26" ht="28" customHeight="1">
      <c r="A26" s="32" t="n">
        <v>1</v>
      </c>
      <c r="B26" s="102" t="inlineStr">
        <is>
          <t>PM Report</t>
        </is>
      </c>
      <c r="C26" s="103" t="inlineStr">
        <is>
          <t>—</t>
        </is>
      </c>
      <c r="D26" s="103" t="inlineStr">
        <is>
          <t>13/02/2024</t>
        </is>
      </c>
      <c r="E26" s="104" t="inlineStr">
        <is>
          <t>PM 1/2567 ช่าง: จารุวรรณ</t>
        </is>
      </c>
      <c r="F26" s="129">
        <f>HYPERLINK("iPonatic3_1st-67_13Feb2024_PM.pdf","📎 iPonatic3_1st-67_13Feb2024_PM.pdf")</f>
        <v/>
      </c>
      <c r="G26" s="40" t="n"/>
      <c r="H26" s="40" t="n"/>
      <c r="I26" s="40" t="n"/>
      <c r="J26" s="40" t="n"/>
      <c r="K26" s="40" t="n"/>
      <c r="L26" s="40" t="n"/>
      <c r="M26" s="40" t="n"/>
      <c r="N26" s="41" t="n"/>
    </row>
    <row r="27" ht="28" customHeight="1">
      <c r="A27" s="95" t="n">
        <v>2</v>
      </c>
      <c r="B27" s="82" t="inlineStr">
        <is>
          <t>PM Report</t>
        </is>
      </c>
      <c r="C27" s="69" t="inlineStr">
        <is>
          <t>—</t>
        </is>
      </c>
      <c r="D27" s="69" t="inlineStr">
        <is>
          <t>08/05/2024</t>
        </is>
      </c>
      <c r="E27" s="83" t="inlineStr">
        <is>
          <t>PM 2/2567 ช่าง: จารุวรรณ</t>
        </is>
      </c>
      <c r="F27" s="129">
        <f>HYPERLINK("iPonatic3_2nd-67_08May2024_PM.pdf","📎 iPonatic3_2nd-67_08May2024_PM.pdf")</f>
        <v/>
      </c>
      <c r="G27" s="40" t="n"/>
      <c r="H27" s="40" t="n"/>
      <c r="I27" s="40" t="n"/>
      <c r="J27" s="40" t="n"/>
      <c r="K27" s="40" t="n"/>
      <c r="L27" s="40" t="n"/>
      <c r="M27" s="40" t="n"/>
      <c r="N27" s="41" t="n"/>
    </row>
    <row r="28" ht="28" customHeight="1">
      <c r="A28" s="32" t="n">
        <v>3</v>
      </c>
      <c r="B28" s="102" t="inlineStr">
        <is>
          <t>PM Report</t>
        </is>
      </c>
      <c r="C28" s="103" t="inlineStr">
        <is>
          <t>—</t>
        </is>
      </c>
      <c r="D28" s="103" t="inlineStr">
        <is>
          <t>24/07/2024</t>
        </is>
      </c>
      <c r="E28" s="104" t="inlineStr">
        <is>
          <t>PM 3/2567 ช่าง: จารุวรรณ</t>
        </is>
      </c>
      <c r="F28" s="129">
        <f>HYPERLINK("iPonatic3_3rd-67_24Jul2024_PM.pdf","📎 iPonatic3_3rd-67_24Jul2024_PM.pdf")</f>
        <v/>
      </c>
      <c r="G28" s="40" t="n"/>
      <c r="H28" s="40" t="n"/>
      <c r="I28" s="40" t="n"/>
      <c r="J28" s="40" t="n"/>
      <c r="K28" s="40" t="n"/>
      <c r="L28" s="40" t="n"/>
      <c r="M28" s="40" t="n"/>
      <c r="N28" s="41" t="n"/>
    </row>
    <row r="29" ht="28" customHeight="1">
      <c r="A29" s="95" t="n">
        <v>4</v>
      </c>
      <c r="B29" s="82" t="inlineStr">
        <is>
          <t>PM Report</t>
        </is>
      </c>
      <c r="C29" s="69" t="inlineStr">
        <is>
          <t>—</t>
        </is>
      </c>
      <c r="D29" s="69" t="inlineStr">
        <is>
          <t>02/10/2024</t>
        </is>
      </c>
      <c r="E29" s="83" t="inlineStr">
        <is>
          <t>PM 4/2567 ช่าง: ธนภูมิ</t>
        </is>
      </c>
      <c r="F29" s="129">
        <f>HYPERLINK("iPonatic3_4th-67_02Oct2024_PM.pdf","📎 iPonatic3_4th-67_02Oct2024_PM.pdf")</f>
        <v/>
      </c>
      <c r="G29" s="40" t="n"/>
      <c r="H29" s="40" t="n"/>
      <c r="I29" s="40" t="n"/>
      <c r="J29" s="40" t="n"/>
      <c r="K29" s="40" t="n"/>
      <c r="L29" s="40" t="n"/>
      <c r="M29" s="40" t="n"/>
      <c r="N29" s="41" t="n"/>
    </row>
    <row r="30" ht="28" customHeight="1">
      <c r="A30" s="32" t="n">
        <v>5</v>
      </c>
      <c r="B30" s="102" t="inlineStr">
        <is>
          <t>PM Report</t>
        </is>
      </c>
      <c r="C30" s="103" t="inlineStr">
        <is>
          <t>—</t>
        </is>
      </c>
      <c r="D30" s="103" t="inlineStr">
        <is>
          <t>19/01/2026</t>
        </is>
      </c>
      <c r="E30" s="104" t="inlineStr">
        <is>
          <t>PM 1/2569 ช่าง: สุดารัตน์ คำเลิศ</t>
        </is>
      </c>
      <c r="F30" s="129">
        <f>HYPERLINK("iPonatic3_1st-69_19Jan2026_PM.pdf","📎 iPonatic3_1st-69_19Jan2026_PM.pdf")</f>
        <v/>
      </c>
      <c r="G30" s="40" t="n"/>
      <c r="H30" s="40" t="n"/>
      <c r="I30" s="40" t="n"/>
      <c r="J30" s="40" t="n"/>
      <c r="K30" s="40" t="n"/>
      <c r="L30" s="40" t="n"/>
      <c r="M30" s="40" t="n"/>
      <c r="N30" s="41" t="n"/>
    </row>
    <row r="31" ht="28" customHeight="1">
      <c r="A31" s="95" t="n">
        <v>6</v>
      </c>
      <c r="B31" s="82" t="inlineStr">
        <is>
          <t>Maintenance Plan</t>
        </is>
      </c>
      <c r="C31" s="69" t="inlineStr">
        <is>
          <t>—</t>
        </is>
      </c>
      <c r="D31" s="69" t="inlineStr">
        <is>
          <t>08/08/2567</t>
        </is>
      </c>
      <c r="E31" s="83" t="inlineStr">
        <is>
          <t>แผน PM 2568 Z-medic</t>
        </is>
      </c>
      <c r="F31" s="129">
        <f>HYPERLINK("iPonatic3_MaintenancePlan_2568.pdf","📎 iPonatic3_MaintenancePlan_2568.pdf")</f>
        <v/>
      </c>
      <c r="G31" s="40" t="n"/>
      <c r="H31" s="40" t="n"/>
      <c r="I31" s="40" t="n"/>
      <c r="J31" s="40" t="n"/>
      <c r="K31" s="40" t="n"/>
      <c r="L31" s="40" t="n"/>
      <c r="M31" s="40" t="n"/>
      <c r="N31" s="41" t="n"/>
    </row>
    <row r="32" ht="18" customHeight="1">
      <c r="A32" s="84" t="inlineStr">
        <is>
          <t xml:space="preserve">  ⚠  ไฟล์ PDF ต้องอยู่ใน folder เดียวกับ Excel นี้จึงจะคลิกเปิดได้</t>
        </is>
      </c>
      <c r="B32" s="40" t="n"/>
      <c r="C32" s="40" t="n"/>
      <c r="D32" s="40" t="n"/>
      <c r="E32" s="40" t="n"/>
      <c r="F32" s="40" t="n"/>
      <c r="G32" s="40" t="n"/>
      <c r="H32" s="40" t="n"/>
      <c r="I32" s="40" t="n"/>
      <c r="J32" s="40" t="n"/>
      <c r="K32" s="40" t="n"/>
      <c r="L32" s="40" t="n"/>
      <c r="M32" s="40" t="n"/>
      <c r="N32" s="4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</row>
  </sheetData>
  <mergeCells count="26">
    <mergeCell ref="A5:D5"/>
    <mergeCell ref="A24:N24"/>
    <mergeCell ref="F30:N30"/>
    <mergeCell ref="F26:N26"/>
    <mergeCell ref="C22:N22"/>
    <mergeCell ref="E7:H7"/>
    <mergeCell ref="C21:N21"/>
    <mergeCell ref="F31:N31"/>
    <mergeCell ref="A16:N16"/>
    <mergeCell ref="F28:N28"/>
    <mergeCell ref="I6:L6"/>
    <mergeCell ref="F27:N27"/>
    <mergeCell ref="E5:H5"/>
    <mergeCell ref="A3:N3"/>
    <mergeCell ref="A6:D6"/>
    <mergeCell ref="C19:N19"/>
    <mergeCell ref="A2:N2"/>
    <mergeCell ref="A7:D7"/>
    <mergeCell ref="C18:N18"/>
    <mergeCell ref="I7:L7"/>
    <mergeCell ref="A32:N32"/>
    <mergeCell ref="F29:N29"/>
    <mergeCell ref="A8:N8"/>
    <mergeCell ref="E6:H6"/>
    <mergeCell ref="I5:L5"/>
    <mergeCell ref="C20:N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B8CB8"/>
    <outlinePr summaryBelow="1" summaryRight="1"/>
    <pageSetUpPr/>
  </sheetPr>
  <dimension ref="A1:Q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48" customHeight="1">
      <c r="A2" s="58" t="inlineStr">
        <is>
          <t xml:space="preserve">  📅  แผนการบำรุงรักษาเครื่องมือ Roche ประจำปี พ.ศ. 2569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0" t="n"/>
      <c r="Q2" s="41" t="n"/>
    </row>
    <row r="3" ht="22" customHeight="1">
      <c r="A3" s="59" t="inlineStr">
        <is>
          <t xml:space="preserve">  อ้างอิง: RDT/PS/L470/2026  ·  ลงนาม: มนตรี รักใหม่ (หัวหน้างานเทคนิค)  ·  12 มกราคม 2569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0" t="n"/>
      <c r="N3" s="40" t="n"/>
      <c r="O3" s="40" t="n"/>
      <c r="P3" s="40" t="n"/>
      <c r="Q3" s="4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30" customHeight="1">
      <c r="A5" s="61" t="inlineStr">
        <is>
          <t>#</t>
        </is>
      </c>
      <c r="B5" s="61" t="inlineStr">
        <is>
          <t>เครื่องมือ</t>
        </is>
      </c>
      <c r="C5" s="61" t="inlineStr">
        <is>
          <t>S/N</t>
        </is>
      </c>
      <c r="D5" s="61" t="inlineStr">
        <is>
          <t>PM/ปี</t>
        </is>
      </c>
      <c r="E5" s="61" t="inlineStr">
        <is>
          <t>ม.ค.</t>
        </is>
      </c>
      <c r="F5" s="61" t="inlineStr">
        <is>
          <t>ก.พ.</t>
        </is>
      </c>
      <c r="G5" s="61" t="inlineStr">
        <is>
          <t>มี.ค.</t>
        </is>
      </c>
      <c r="H5" s="61" t="inlineStr">
        <is>
          <t>เม.ย.</t>
        </is>
      </c>
      <c r="I5" s="61" t="inlineStr">
        <is>
          <t>พ.ค.</t>
        </is>
      </c>
      <c r="J5" s="61" t="inlineStr">
        <is>
          <t>มิ.ย.</t>
        </is>
      </c>
      <c r="K5" s="61" t="inlineStr">
        <is>
          <t>ก.ค.</t>
        </is>
      </c>
      <c r="L5" s="61" t="inlineStr">
        <is>
          <t>ส.ค.</t>
        </is>
      </c>
      <c r="M5" s="61" t="inlineStr">
        <is>
          <t>ก.ย.</t>
        </is>
      </c>
      <c r="N5" s="61" t="inlineStr">
        <is>
          <t>ต.ค.</t>
        </is>
      </c>
      <c r="O5" s="61" t="inlineStr">
        <is>
          <t>พ.ย.</t>
        </is>
      </c>
      <c r="P5" s="61" t="inlineStr">
        <is>
          <t>ธ.ค.</t>
        </is>
      </c>
      <c r="Q5" s="1" t="n"/>
    </row>
    <row r="6" ht="24" customHeight="1">
      <c r="A6" s="28" t="n">
        <v>1</v>
      </c>
      <c r="B6" s="26" t="inlineStr">
        <is>
          <t>cobas p 471</t>
        </is>
      </c>
      <c r="C6" s="105" t="inlineStr">
        <is>
          <t>66300377</t>
        </is>
      </c>
      <c r="D6" s="27" t="n">
        <v>2</v>
      </c>
      <c r="E6" s="44" t="inlineStr">
        <is>
          <t>✅</t>
        </is>
      </c>
      <c r="F6" s="106" t="n"/>
      <c r="G6" s="106" t="n"/>
      <c r="H6" s="106" t="n"/>
      <c r="I6" s="106" t="n"/>
      <c r="J6" s="44" t="inlineStr">
        <is>
          <t>✅</t>
        </is>
      </c>
      <c r="K6" s="106" t="n"/>
      <c r="L6" s="106" t="n"/>
      <c r="M6" s="106" t="n"/>
      <c r="N6" s="106" t="n"/>
      <c r="O6" s="106" t="n"/>
      <c r="P6" s="106" t="n"/>
      <c r="Q6" s="1" t="n"/>
    </row>
    <row r="7" ht="24" customHeight="1">
      <c r="A7" s="107" t="n">
        <v>2</v>
      </c>
      <c r="B7" s="86" t="inlineStr">
        <is>
          <t>cobas p 512</t>
        </is>
      </c>
      <c r="C7" s="108" t="inlineStr">
        <is>
          <t>64300333</t>
        </is>
      </c>
      <c r="D7" s="68" t="n">
        <v>2</v>
      </c>
      <c r="E7" s="44" t="inlineStr">
        <is>
          <t>✅</t>
        </is>
      </c>
      <c r="F7" s="109" t="n"/>
      <c r="G7" s="109" t="n"/>
      <c r="H7" s="109" t="n"/>
      <c r="I7" s="109" t="n"/>
      <c r="J7" s="44" t="inlineStr">
        <is>
          <t>✅</t>
        </is>
      </c>
      <c r="K7" s="109" t="n"/>
      <c r="L7" s="109" t="n"/>
      <c r="M7" s="109" t="n"/>
      <c r="N7" s="109" t="n"/>
      <c r="O7" s="109" t="n"/>
      <c r="P7" s="109" t="n"/>
      <c r="Q7" s="1" t="n"/>
    </row>
    <row r="8" ht="24" customHeight="1">
      <c r="A8" s="28" t="n">
        <v>3</v>
      </c>
      <c r="B8" s="26" t="inlineStr">
        <is>
          <t>cobas pro SSU (1)</t>
        </is>
      </c>
      <c r="C8" s="105" t="inlineStr">
        <is>
          <t>C4P8-02</t>
        </is>
      </c>
      <c r="D8" s="27" t="n">
        <v>1</v>
      </c>
      <c r="E8" s="106" t="n"/>
      <c r="F8" s="106" t="n"/>
      <c r="G8" s="44" t="inlineStr">
        <is>
          <t>✅</t>
        </is>
      </c>
      <c r="H8" s="106" t="n"/>
      <c r="I8" s="106" t="n"/>
      <c r="J8" s="106" t="n"/>
      <c r="K8" s="106" t="n"/>
      <c r="L8" s="106" t="n"/>
      <c r="M8" s="106" t="n"/>
      <c r="N8" s="106" t="n"/>
      <c r="O8" s="106" t="n"/>
      <c r="P8" s="106" t="n"/>
      <c r="Q8" s="1" t="n"/>
    </row>
    <row r="9" ht="24" customHeight="1">
      <c r="A9" s="107" t="n">
        <v>4</v>
      </c>
      <c r="B9" s="86" t="inlineStr">
        <is>
          <t>cobas pro ISE (1)</t>
        </is>
      </c>
      <c r="C9" s="108" t="inlineStr">
        <is>
          <t>2386-05</t>
        </is>
      </c>
      <c r="D9" s="68" t="n">
        <v>2</v>
      </c>
      <c r="E9" s="109" t="n"/>
      <c r="F9" s="109" t="n"/>
      <c r="G9" s="44" t="inlineStr">
        <is>
          <t>✅</t>
        </is>
      </c>
      <c r="H9" s="109" t="n"/>
      <c r="I9" s="109" t="n"/>
      <c r="J9" s="109" t="n"/>
      <c r="K9" s="109" t="n"/>
      <c r="L9" s="109" t="n"/>
      <c r="M9" s="44" t="inlineStr">
        <is>
          <t>✅</t>
        </is>
      </c>
      <c r="N9" s="109" t="n"/>
      <c r="O9" s="109" t="n"/>
      <c r="P9" s="109" t="n"/>
      <c r="Q9" s="1" t="n"/>
    </row>
    <row r="10" ht="24" customHeight="1">
      <c r="A10" s="28" t="n">
        <v>5</v>
      </c>
      <c r="B10" s="26" t="inlineStr">
        <is>
          <t>cobas c 503 (1)</t>
        </is>
      </c>
      <c r="C10" s="105" t="inlineStr">
        <is>
          <t>24A8-09</t>
        </is>
      </c>
      <c r="D10" s="27" t="n">
        <v>2</v>
      </c>
      <c r="E10" s="106" t="n"/>
      <c r="F10" s="106" t="n"/>
      <c r="G10" s="44" t="inlineStr">
        <is>
          <t>✅</t>
        </is>
      </c>
      <c r="H10" s="106" t="n"/>
      <c r="I10" s="106" t="n"/>
      <c r="J10" s="106" t="n"/>
      <c r="K10" s="106" t="n"/>
      <c r="L10" s="106" t="n"/>
      <c r="M10" s="44" t="inlineStr">
        <is>
          <t>✅</t>
        </is>
      </c>
      <c r="N10" s="106" t="n"/>
      <c r="O10" s="106" t="n"/>
      <c r="P10" s="106" t="n"/>
      <c r="Q10" s="1" t="n"/>
    </row>
    <row r="11" ht="24" customHeight="1">
      <c r="A11" s="107" t="n">
        <v>6</v>
      </c>
      <c r="B11" s="86" t="inlineStr">
        <is>
          <t>cobas e 801</t>
        </is>
      </c>
      <c r="C11" s="108" t="inlineStr">
        <is>
          <t>44B9-02</t>
        </is>
      </c>
      <c r="D11" s="68" t="n">
        <v>2</v>
      </c>
      <c r="E11" s="109" t="n"/>
      <c r="F11" s="109" t="n"/>
      <c r="G11" s="44" t="inlineStr">
        <is>
          <t>✅</t>
        </is>
      </c>
      <c r="H11" s="109" t="n"/>
      <c r="I11" s="109" t="n"/>
      <c r="J11" s="109" t="n"/>
      <c r="K11" s="109" t="n"/>
      <c r="L11" s="109" t="n"/>
      <c r="M11" s="44" t="inlineStr">
        <is>
          <t>✅</t>
        </is>
      </c>
      <c r="N11" s="109" t="n"/>
      <c r="O11" s="109" t="n"/>
      <c r="P11" s="109" t="n"/>
      <c r="Q11" s="1" t="n"/>
    </row>
    <row r="12" ht="24" customHeight="1">
      <c r="A12" s="28" t="n">
        <v>7</v>
      </c>
      <c r="B12" s="26" t="inlineStr">
        <is>
          <t>Merck RO AFS 120E</t>
        </is>
      </c>
      <c r="C12" s="105" t="inlineStr">
        <is>
          <t>F2KB96929D</t>
        </is>
      </c>
      <c r="D12" s="27" t="n">
        <v>2</v>
      </c>
      <c r="E12" s="106" t="n"/>
      <c r="F12" s="106" t="n"/>
      <c r="G12" s="44" t="inlineStr">
        <is>
          <t>✅</t>
        </is>
      </c>
      <c r="H12" s="106" t="n"/>
      <c r="I12" s="106" t="n"/>
      <c r="J12" s="106" t="n"/>
      <c r="K12" s="106" t="n"/>
      <c r="L12" s="106" t="n"/>
      <c r="M12" s="44" t="inlineStr">
        <is>
          <t>✅</t>
        </is>
      </c>
      <c r="N12" s="106" t="n"/>
      <c r="O12" s="106" t="n"/>
      <c r="P12" s="106" t="n"/>
      <c r="Q12" s="1" t="n"/>
    </row>
    <row r="13" ht="24" customHeight="1">
      <c r="A13" s="107" t="n">
        <v>8</v>
      </c>
      <c r="B13" s="86" t="inlineStr">
        <is>
          <t>cobas pro SSU (2)</t>
        </is>
      </c>
      <c r="C13" s="108" t="inlineStr">
        <is>
          <t>C4R0-09</t>
        </is>
      </c>
      <c r="D13" s="68" t="n">
        <v>1</v>
      </c>
      <c r="E13" s="109" t="n"/>
      <c r="F13" s="109" t="n"/>
      <c r="G13" s="44" t="inlineStr">
        <is>
          <t>✅</t>
        </is>
      </c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" t="n"/>
    </row>
    <row r="14" ht="24" customHeight="1">
      <c r="A14" s="28" t="n">
        <v>9</v>
      </c>
      <c r="B14" s="26" t="inlineStr">
        <is>
          <t>cobas pro ISE (2)</t>
        </is>
      </c>
      <c r="C14" s="105" t="inlineStr">
        <is>
          <t>2396-03</t>
        </is>
      </c>
      <c r="D14" s="27" t="n">
        <v>2</v>
      </c>
      <c r="E14" s="106" t="n"/>
      <c r="F14" s="106" t="n"/>
      <c r="G14" s="44" t="inlineStr">
        <is>
          <t>✅</t>
        </is>
      </c>
      <c r="H14" s="106" t="n"/>
      <c r="I14" s="106" t="n"/>
      <c r="J14" s="106" t="n"/>
      <c r="K14" s="106" t="n"/>
      <c r="L14" s="106" t="n"/>
      <c r="M14" s="44" t="inlineStr">
        <is>
          <t>✅</t>
        </is>
      </c>
      <c r="N14" s="106" t="n"/>
      <c r="O14" s="106" t="n"/>
      <c r="P14" s="106" t="n"/>
      <c r="Q14" s="1" t="n"/>
    </row>
    <row r="15" ht="24" customHeight="1">
      <c r="A15" s="107" t="n">
        <v>10</v>
      </c>
      <c r="B15" s="86" t="inlineStr">
        <is>
          <t>cobas c 503 (2)</t>
        </is>
      </c>
      <c r="C15" s="108" t="inlineStr">
        <is>
          <t>24C3-03</t>
        </is>
      </c>
      <c r="D15" s="68" t="n">
        <v>2</v>
      </c>
      <c r="E15" s="109" t="n"/>
      <c r="F15" s="109" t="n"/>
      <c r="G15" s="44" t="inlineStr">
        <is>
          <t>✅</t>
        </is>
      </c>
      <c r="H15" s="109" t="n"/>
      <c r="I15" s="109" t="n"/>
      <c r="J15" s="109" t="n"/>
      <c r="K15" s="109" t="n"/>
      <c r="L15" s="109" t="n"/>
      <c r="M15" s="44" t="inlineStr">
        <is>
          <t>✅</t>
        </is>
      </c>
      <c r="N15" s="109" t="n"/>
      <c r="O15" s="109" t="n"/>
      <c r="P15" s="109" t="n"/>
      <c r="Q15" s="1" t="n"/>
    </row>
    <row r="16" ht="24" customHeight="1">
      <c r="A16" s="28" t="n">
        <v>11</v>
      </c>
      <c r="B16" s="26" t="inlineStr">
        <is>
          <t>Merck RO AFS 80E</t>
        </is>
      </c>
      <c r="C16" s="105" t="inlineStr">
        <is>
          <t>F4JB66194D</t>
        </is>
      </c>
      <c r="D16" s="27" t="n">
        <v>2</v>
      </c>
      <c r="E16" s="106" t="n"/>
      <c r="F16" s="106" t="n"/>
      <c r="G16" s="44" t="inlineStr">
        <is>
          <t>✅</t>
        </is>
      </c>
      <c r="H16" s="106" t="n"/>
      <c r="I16" s="106" t="n"/>
      <c r="J16" s="106" t="n"/>
      <c r="K16" s="106" t="n"/>
      <c r="L16" s="106" t="n"/>
      <c r="M16" s="44" t="inlineStr">
        <is>
          <t>✅</t>
        </is>
      </c>
      <c r="N16" s="106" t="n"/>
      <c r="O16" s="106" t="n"/>
      <c r="P16" s="106" t="n"/>
      <c r="Q16" s="1" t="n"/>
    </row>
    <row r="17" ht="24" customHeight="1">
      <c r="A17" s="107" t="n">
        <v>12</v>
      </c>
      <c r="B17" s="86" t="inlineStr">
        <is>
          <t>HENm (1)</t>
        </is>
      </c>
      <c r="C17" s="108" t="inlineStr">
        <is>
          <t>H1221075</t>
        </is>
      </c>
      <c r="D17" s="68" t="n">
        <v>1</v>
      </c>
      <c r="E17" s="109" t="n"/>
      <c r="F17" s="109" t="n"/>
      <c r="G17" s="109" t="n"/>
      <c r="H17" s="109" t="n"/>
      <c r="I17" s="109" t="n"/>
      <c r="J17" s="44" t="inlineStr">
        <is>
          <t>✅</t>
        </is>
      </c>
      <c r="K17" s="109" t="n"/>
      <c r="L17" s="109" t="n"/>
      <c r="M17" s="109" t="n"/>
      <c r="N17" s="109" t="n"/>
      <c r="O17" s="109" t="n"/>
      <c r="P17" s="109" t="n"/>
      <c r="Q17" s="1" t="n"/>
    </row>
    <row r="18" ht="24" customHeight="1">
      <c r="A18" s="28" t="n">
        <v>13</v>
      </c>
      <c r="B18" s="26" t="inlineStr">
        <is>
          <t>HENm (2)</t>
        </is>
      </c>
      <c r="C18" s="105" t="inlineStr">
        <is>
          <t>H1221106</t>
        </is>
      </c>
      <c r="D18" s="27" t="n">
        <v>1</v>
      </c>
      <c r="E18" s="106" t="n"/>
      <c r="F18" s="106" t="n"/>
      <c r="G18" s="106" t="n"/>
      <c r="H18" s="106" t="n"/>
      <c r="I18" s="106" t="n"/>
      <c r="J18" s="44" t="inlineStr">
        <is>
          <t>✅</t>
        </is>
      </c>
      <c r="K18" s="106" t="n"/>
      <c r="L18" s="106" t="n"/>
      <c r="M18" s="106" t="n"/>
      <c r="N18" s="106" t="n"/>
      <c r="O18" s="106" t="n"/>
      <c r="P18" s="106" t="n"/>
      <c r="Q18" s="1" t="n"/>
    </row>
    <row r="19" ht="24" customHeight="1">
      <c r="A19" s="107" t="n">
        <v>14</v>
      </c>
      <c r="B19" s="86" t="inlineStr">
        <is>
          <t>HENm (3)</t>
        </is>
      </c>
      <c r="C19" s="108" t="inlineStr">
        <is>
          <t>H1222180</t>
        </is>
      </c>
      <c r="D19" s="68" t="n">
        <v>1</v>
      </c>
      <c r="E19" s="109" t="n"/>
      <c r="F19" s="109" t="n"/>
      <c r="G19" s="109" t="n"/>
      <c r="H19" s="109" t="n"/>
      <c r="I19" s="109" t="n"/>
      <c r="J19" s="44" t="inlineStr">
        <is>
          <t>✅</t>
        </is>
      </c>
      <c r="K19" s="109" t="n"/>
      <c r="L19" s="109" t="n"/>
      <c r="M19" s="109" t="n"/>
      <c r="N19" s="109" t="n"/>
      <c r="O19" s="109" t="n"/>
      <c r="P19" s="109" t="n"/>
      <c r="Q19" s="1" t="n"/>
    </row>
    <row r="20" ht="24" customHeight="1">
      <c r="A20" s="28" t="n">
        <v>15</v>
      </c>
      <c r="B20" s="26" t="inlineStr">
        <is>
          <t>HENm (4)</t>
        </is>
      </c>
      <c r="C20" s="105" t="inlineStr">
        <is>
          <t>H1224118</t>
        </is>
      </c>
      <c r="D20" s="27" t="n">
        <v>1</v>
      </c>
      <c r="E20" s="106" t="n"/>
      <c r="F20" s="106" t="n"/>
      <c r="G20" s="106" t="n"/>
      <c r="H20" s="106" t="n"/>
      <c r="I20" s="106" t="n"/>
      <c r="J20" s="44" t="inlineStr">
        <is>
          <t>✅</t>
        </is>
      </c>
      <c r="K20" s="106" t="n"/>
      <c r="L20" s="106" t="n"/>
      <c r="M20" s="106" t="n"/>
      <c r="N20" s="106" t="n"/>
      <c r="O20" s="106" t="n"/>
      <c r="P20" s="106" t="n"/>
      <c r="Q20" s="1" t="n"/>
    </row>
    <row r="21" ht="24" customHeight="1">
      <c r="A21" s="107" t="n">
        <v>16</v>
      </c>
      <c r="B21" s="86" t="inlineStr">
        <is>
          <t>HENm Mobile</t>
        </is>
      </c>
      <c r="C21" s="108" t="inlineStr">
        <is>
          <t>H1323003</t>
        </is>
      </c>
      <c r="D21" s="68" t="n">
        <v>1</v>
      </c>
      <c r="E21" s="109" t="n"/>
      <c r="F21" s="109" t="n"/>
      <c r="G21" s="109" t="n"/>
      <c r="H21" s="109" t="n"/>
      <c r="I21" s="109" t="n"/>
      <c r="J21" s="44" t="inlineStr">
        <is>
          <t>✅</t>
        </is>
      </c>
      <c r="K21" s="109" t="n"/>
      <c r="L21" s="109" t="n"/>
      <c r="M21" s="109" t="n"/>
      <c r="N21" s="109" t="n"/>
      <c r="O21" s="109" t="n"/>
      <c r="P21" s="109" t="n"/>
      <c r="Q21" s="1" t="n"/>
    </row>
    <row r="22" ht="24" customHeight="1">
      <c r="A22" s="28" t="n">
        <v>17</v>
      </c>
      <c r="B22" s="26" t="inlineStr">
        <is>
          <t>cobas z 480</t>
        </is>
      </c>
      <c r="C22" s="105" t="inlineStr">
        <is>
          <t>54632</t>
        </is>
      </c>
      <c r="D22" s="27" t="n">
        <v>1</v>
      </c>
      <c r="E22" s="106" t="n"/>
      <c r="F22" s="106" t="n"/>
      <c r="G22" s="106" t="n"/>
      <c r="H22" s="106" t="n"/>
      <c r="I22" s="44" t="inlineStr">
        <is>
          <t>✅</t>
        </is>
      </c>
      <c r="J22" s="106" t="n"/>
      <c r="K22" s="106" t="n"/>
      <c r="L22" s="106" t="n"/>
      <c r="M22" s="106" t="n"/>
      <c r="N22" s="106" t="n"/>
      <c r="O22" s="106" t="n"/>
      <c r="P22" s="106" t="n"/>
      <c r="Q22" s="1" t="n"/>
    </row>
    <row r="23" ht="24" customHeight="1">
      <c r="A23" s="61" t="n">
        <v>18</v>
      </c>
      <c r="B23" s="25" t="inlineStr">
        <is>
          <t>cobas 6800  ⭐</t>
        </is>
      </c>
      <c r="C23" s="110" t="inlineStr">
        <is>
          <t>1376</t>
        </is>
      </c>
      <c r="D23" s="61" t="n">
        <v>2</v>
      </c>
      <c r="E23" s="111" t="n"/>
      <c r="F23" s="111" t="n"/>
      <c r="G23" s="111" t="n"/>
      <c r="H23" s="111" t="n"/>
      <c r="I23" s="44" t="inlineStr">
        <is>
          <t>✅</t>
        </is>
      </c>
      <c r="J23" s="111" t="n"/>
      <c r="K23" s="111" t="n"/>
      <c r="L23" s="111" t="n"/>
      <c r="M23" s="111" t="n"/>
      <c r="N23" s="111" t="n"/>
      <c r="O23" s="44" t="inlineStr">
        <is>
          <t>✅</t>
        </is>
      </c>
      <c r="P23" s="111" t="n"/>
      <c r="Q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</row>
  </sheetData>
  <mergeCells count="2">
    <mergeCell ref="A3:Q3"/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7080"/>
    <outlinePr summaryBelow="1" summaryRight="1"/>
    <pageSetUpPr/>
  </sheetPr>
  <dimension ref="A1:M13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6" customWidth="1" min="3" max="3"/>
    <col width="13" customWidth="1" min="4" max="4"/>
    <col width="22" customWidth="1" min="5" max="5"/>
    <col width="10" customWidth="1" min="6" max="6"/>
    <col width="32" customWidth="1" min="7" max="7"/>
    <col width="44" customWidth="1" min="8" max="8"/>
    <col width="28" customWidth="1" min="9" max="9"/>
    <col width="9" customWidth="1" min="10" max="10"/>
    <col width="9" customWidth="1" min="11" max="11"/>
    <col width="14" customWidth="1" min="12" max="12"/>
    <col width="24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8" customHeight="1">
      <c r="A2" s="112" t="inlineStr">
        <is>
          <t xml:space="preserve">  🔴  Becton Dickinson (Thailand)  ·  BD FACSCalibur™ Cytometer 3 Color</t>
        </is>
      </c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1" t="n"/>
    </row>
    <row r="3" ht="22" customHeight="1">
      <c r="A3" s="113" t="inlineStr">
        <is>
          <t xml:space="preserve">  S/N: E34297300589   ·   รพ.พระจอมเกล้า เพชรบุรี  ·  ผู้ประสานงาน: Kanchana Sonjai   ·   Tel: 02-2645970-1  ·  BDDSservicedesk@bd.com</t>
        </is>
      </c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  <c r="K3" s="40" t="n"/>
      <c r="L3" s="40" t="n"/>
      <c r="M3" s="4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 ht="46" customHeight="1">
      <c r="A5" s="4" t="inlineStr">
        <is>
          <t>🔨  8</t>
        </is>
      </c>
      <c r="B5" s="40" t="n"/>
      <c r="C5" s="41" t="n"/>
      <c r="D5" s="5" t="inlineStr">
        <is>
          <t>✅  4</t>
        </is>
      </c>
      <c r="E5" s="40" t="n"/>
      <c r="F5" s="41" t="n"/>
      <c r="G5" s="6" t="inlineStr">
        <is>
          <t>🛠  3</t>
        </is>
      </c>
      <c r="H5" s="40" t="n"/>
      <c r="I5" s="41" t="n"/>
      <c r="J5" s="8" t="inlineStr">
        <is>
          <t>⏱  27.5h</t>
        </is>
      </c>
      <c r="K5" s="40" t="n"/>
      <c r="L5" s="41" t="n"/>
      <c r="M5" s="1" t="n"/>
    </row>
    <row r="6" ht="20" customHeight="1">
      <c r="A6" s="10" t="inlineStr">
        <is>
          <t>บริการทั้งหมด</t>
        </is>
      </c>
      <c r="B6" s="40" t="n"/>
      <c r="C6" s="41" t="n"/>
      <c r="D6" s="11" t="inlineStr">
        <is>
          <t>PM Visit</t>
        </is>
      </c>
      <c r="E6" s="40" t="n"/>
      <c r="F6" s="41" t="n"/>
      <c r="G6" s="12" t="inlineStr">
        <is>
          <t>Repair</t>
        </is>
      </c>
      <c r="H6" s="40" t="n"/>
      <c r="I6" s="41" t="n"/>
      <c r="J6" s="14" t="inlineStr">
        <is>
          <t>Labor</t>
        </is>
      </c>
      <c r="K6" s="40" t="n"/>
      <c r="L6" s="41" t="n"/>
      <c r="M6" s="1" t="n"/>
    </row>
    <row r="7" ht="8" customHeight="1">
      <c r="A7" s="16" t="n"/>
      <c r="B7" s="40" t="n"/>
      <c r="C7" s="41" t="n"/>
      <c r="D7" s="17" t="n"/>
      <c r="E7" s="40" t="n"/>
      <c r="F7" s="41" t="n"/>
      <c r="G7" s="18" t="n"/>
      <c r="H7" s="40" t="n"/>
      <c r="I7" s="41" t="n"/>
      <c r="J7" s="20" t="n"/>
      <c r="K7" s="40" t="n"/>
      <c r="L7" s="41" t="n"/>
      <c r="M7" s="1" t="n"/>
    </row>
    <row r="8" ht="24" customHeight="1">
      <c r="A8" s="114" t="inlineStr">
        <is>
          <t xml:space="preserve">  📋  ประวัติการบริการ (Service History)</t>
        </is>
      </c>
      <c r="B8" s="40" t="n"/>
      <c r="C8" s="40" t="n"/>
      <c r="D8" s="40" t="n"/>
      <c r="E8" s="40" t="n"/>
      <c r="F8" s="40" t="n"/>
      <c r="G8" s="40" t="n"/>
      <c r="H8" s="40" t="n"/>
      <c r="I8" s="40" t="n"/>
      <c r="J8" s="40" t="n"/>
      <c r="K8" s="40" t="n"/>
      <c r="L8" s="40" t="n"/>
      <c r="M8" s="41" t="n"/>
    </row>
    <row r="9" ht="32" customHeight="1">
      <c r="A9" s="115" t="inlineStr">
        <is>
          <t>#</t>
        </is>
      </c>
      <c r="B9" s="115" t="inlineStr">
        <is>
          <t>วันที่</t>
        </is>
      </c>
      <c r="C9" s="115" t="inlineStr">
        <is>
          <t>Work Order</t>
        </is>
      </c>
      <c r="D9" s="115" t="inlineStr">
        <is>
          <t>Case No.</t>
        </is>
      </c>
      <c r="E9" s="115" t="inlineStr">
        <is>
          <t>ประเภท</t>
        </is>
      </c>
      <c r="F9" s="115" t="inlineStr">
        <is>
          <t>รหัสงาน</t>
        </is>
      </c>
      <c r="G9" s="115" t="inlineStr">
        <is>
          <t>อาการ / Symptom</t>
        </is>
      </c>
      <c r="H9" s="115" t="inlineStr">
        <is>
          <t>งานที่ดำเนินการ</t>
        </is>
      </c>
      <c r="I9" s="115" t="inlineStr">
        <is>
          <t>อะไหล่</t>
        </is>
      </c>
      <c r="J9" s="115" t="inlineStr">
        <is>
          <t>Labor</t>
        </is>
      </c>
      <c r="K9" s="115" t="inlineStr">
        <is>
          <t>Travel</t>
        </is>
      </c>
      <c r="L9" s="115" t="inlineStr">
        <is>
          <t>สถานะ</t>
        </is>
      </c>
      <c r="M9" s="115" t="inlineStr">
        <is>
          <t>ช่าง</t>
        </is>
      </c>
    </row>
    <row r="10" ht="38" customHeight="1">
      <c r="A10" s="37" t="n">
        <v>1</v>
      </c>
      <c r="B10" s="116" t="inlineStr">
        <is>
          <t>10/11/2023</t>
        </is>
      </c>
      <c r="C10" s="117" t="inlineStr">
        <is>
          <t>WO-03183247</t>
        </is>
      </c>
      <c r="D10" s="117" t="inlineStr">
        <is>
          <t>02150792</t>
        </is>
      </c>
      <c r="E10" s="76" t="inlineStr">
        <is>
          <t>Preventive Maintenance</t>
        </is>
      </c>
      <c r="F10" s="117" t="inlineStr">
        <is>
          <t>T111</t>
        </is>
      </c>
      <c r="G10" s="118" t="inlineStr">
        <is>
          <t>PM ตามแผน</t>
        </is>
      </c>
      <c r="H10" s="118" t="inlineStr">
        <is>
          <t>PM; ตรวจสอบ fluid/optic; Run Nile reds beads; Run QC</t>
        </is>
      </c>
      <c r="I10" s="118" t="inlineStr">
        <is>
          <t>—</t>
        </is>
      </c>
      <c r="J10" s="119" t="inlineStr">
        <is>
          <t>1 hr</t>
        </is>
      </c>
      <c r="K10" s="119" t="inlineStr">
        <is>
          <t>1 hr</t>
        </is>
      </c>
      <c r="L10" s="76" t="inlineStr">
        <is>
          <t>ทำงานปกติ</t>
        </is>
      </c>
      <c r="M10" s="120" t="inlineStr">
        <is>
          <t>Janboon Pisitpong</t>
        </is>
      </c>
    </row>
    <row r="11" ht="38" customHeight="1">
      <c r="A11" s="121" t="n">
        <v>2</v>
      </c>
      <c r="B11" s="69" t="inlineStr">
        <is>
          <t>23/04/2024</t>
        </is>
      </c>
      <c r="C11" s="70" t="inlineStr">
        <is>
          <t>WO-03434115</t>
        </is>
      </c>
      <c r="D11" s="70" t="inlineStr">
        <is>
          <t>02328265</t>
        </is>
      </c>
      <c r="E11" s="122" t="inlineStr">
        <is>
          <t>Relocation</t>
        </is>
      </c>
      <c r="F11" s="70" t="inlineStr">
        <is>
          <t>T108</t>
        </is>
      </c>
      <c r="G11" s="71" t="inlineStr">
        <is>
          <t>ย้ายเครื่อง</t>
        </is>
      </c>
      <c r="H11" s="71" t="inlineStr">
        <is>
          <t>Disconnect; ย้าย; เชื่อมต่อใหม่; ตรวจสอบ fluid/optic/laser; Run beads; FACSComp</t>
        </is>
      </c>
      <c r="I11" s="71" t="inlineStr">
        <is>
          <t>—</t>
        </is>
      </c>
      <c r="J11" s="72" t="inlineStr">
        <is>
          <t>2 hr</t>
        </is>
      </c>
      <c r="K11" s="72" t="inlineStr">
        <is>
          <t>0.75 hr</t>
        </is>
      </c>
      <c r="L11" s="76" t="inlineStr">
        <is>
          <t>ทำงานปกติ</t>
        </is>
      </c>
      <c r="M11" s="123" t="inlineStr">
        <is>
          <t>Janboon Pisitpong</t>
        </is>
      </c>
    </row>
    <row r="12" ht="38" customHeight="1">
      <c r="A12" s="37" t="n">
        <v>3</v>
      </c>
      <c r="B12" s="116" t="inlineStr">
        <is>
          <t>01/06/2024</t>
        </is>
      </c>
      <c r="C12" s="117" t="inlineStr">
        <is>
          <t>WO-03488349</t>
        </is>
      </c>
      <c r="D12" s="117" t="inlineStr">
        <is>
          <t>02367329</t>
        </is>
      </c>
      <c r="E12" s="63" t="inlineStr">
        <is>
          <t>Repair / Troubleshooting</t>
        </is>
      </c>
      <c r="F12" s="117" t="inlineStr">
        <is>
          <t>T113</t>
        </is>
      </c>
      <c r="G12" s="118" t="inlineStr">
        <is>
          <t>จอดำ — Monitor blank</t>
        </is>
      </c>
      <c r="H12" s="118" t="inlineStr">
        <is>
          <t>ตรวจสอบ; พบ graphic card เสีย; เปลี่ยน ATI Radeon</t>
        </is>
      </c>
      <c r="I12" s="118" t="inlineStr">
        <is>
          <t>ATI Radeon Graphics Card (Local)</t>
        </is>
      </c>
      <c r="J12" s="119" t="inlineStr">
        <is>
          <t>1.5 hr</t>
        </is>
      </c>
      <c r="K12" s="119" t="inlineStr">
        <is>
          <t>3 hr</t>
        </is>
      </c>
      <c r="L12" s="76" t="inlineStr">
        <is>
          <t>ทำงานปกติ</t>
        </is>
      </c>
      <c r="M12" s="120" t="inlineStr">
        <is>
          <t>Janboon Pisitpong</t>
        </is>
      </c>
    </row>
    <row r="13" ht="38" customHeight="1">
      <c r="A13" s="121" t="n">
        <v>4</v>
      </c>
      <c r="B13" s="69" t="inlineStr">
        <is>
          <t>22/08/2024</t>
        </is>
      </c>
      <c r="C13" s="70" t="inlineStr">
        <is>
          <t>WO-03589462</t>
        </is>
      </c>
      <c r="D13" s="70" t="inlineStr">
        <is>
          <t>02422767</t>
        </is>
      </c>
      <c r="E13" s="63" t="inlineStr">
        <is>
          <t>Repair / Troubleshooting</t>
        </is>
      </c>
      <c r="F13" s="70" t="inlineStr">
        <is>
          <t>T113</t>
        </is>
      </c>
      <c r="G13" s="71" t="inlineStr">
        <is>
          <t>Printer ไม่พิมพ์</t>
        </is>
      </c>
      <c r="H13" s="71" t="inlineStr">
        <is>
          <t>ติดตั้ง Printer ใหม่ Epson L1210 (S/N X8LC026107)</t>
        </is>
      </c>
      <c r="I13" s="71" t="inlineStr">
        <is>
          <t>Epson L1210 S/N X8LC026107</t>
        </is>
      </c>
      <c r="J13" s="72" t="inlineStr">
        <is>
          <t>3.5 hr</t>
        </is>
      </c>
      <c r="K13" s="72" t="inlineStr">
        <is>
          <t>4.5 hr</t>
        </is>
      </c>
      <c r="L13" s="76" t="inlineStr">
        <is>
          <t>ทำงานปกติ</t>
        </is>
      </c>
      <c r="M13" s="123" t="inlineStr">
        <is>
          <t>Janboon Pisitpong</t>
        </is>
      </c>
    </row>
    <row r="14" ht="38" customHeight="1">
      <c r="A14" s="37" t="n">
        <v>5</v>
      </c>
      <c r="B14" s="116" t="inlineStr">
        <is>
          <t>21/10/2024</t>
        </is>
      </c>
      <c r="C14" s="117" t="inlineStr">
        <is>
          <t>WO-03651960</t>
        </is>
      </c>
      <c r="D14" s="117" t="inlineStr">
        <is>
          <t>02494689</t>
        </is>
      </c>
      <c r="E14" s="76" t="inlineStr">
        <is>
          <t>Preventive Maintenance</t>
        </is>
      </c>
      <c r="F14" s="117" t="inlineStr">
        <is>
          <t>T111</t>
        </is>
      </c>
      <c r="G14" s="118" t="inlineStr">
        <is>
          <t>PM ตามแผน</t>
        </is>
      </c>
      <c r="H14" s="118" t="inlineStr">
        <is>
          <t>PM; fluid + sheath 4.5 psi; optic/laser; electronic; Run beads; FACSComp</t>
        </is>
      </c>
      <c r="I14" s="118" t="inlineStr">
        <is>
          <t>—</t>
        </is>
      </c>
      <c r="J14" s="119" t="inlineStr">
        <is>
          <t>4 hr</t>
        </is>
      </c>
      <c r="K14" s="119" t="inlineStr">
        <is>
          <t>1 hr</t>
        </is>
      </c>
      <c r="L14" s="76" t="inlineStr">
        <is>
          <t>ทำงานปกติ</t>
        </is>
      </c>
      <c r="M14" s="120" t="inlineStr">
        <is>
          <t>Janboon Pisitpong</t>
        </is>
      </c>
    </row>
    <row r="15" ht="38" customHeight="1">
      <c r="A15" s="121" t="n">
        <v>6</v>
      </c>
      <c r="B15" s="69" t="inlineStr">
        <is>
          <t>30/04/2025</t>
        </is>
      </c>
      <c r="C15" s="70" t="inlineStr">
        <is>
          <t>WO-03887946</t>
        </is>
      </c>
      <c r="D15" s="70" t="inlineStr">
        <is>
          <t>02677643</t>
        </is>
      </c>
      <c r="E15" s="76" t="inlineStr">
        <is>
          <t>Preventive Maintenance</t>
        </is>
      </c>
      <c r="F15" s="70" t="inlineStr">
        <is>
          <t>T111</t>
        </is>
      </c>
      <c r="G15" s="71" t="inlineStr">
        <is>
          <t>PM ตามแผน</t>
        </is>
      </c>
      <c r="H15" s="71" t="inlineStr">
        <is>
          <t>PM; fluid + sheath 4.5 psi; optic/laser; electronic; Run beads; FACSComp</t>
        </is>
      </c>
      <c r="I15" s="71" t="inlineStr">
        <is>
          <t>—</t>
        </is>
      </c>
      <c r="J15" s="72" t="inlineStr">
        <is>
          <t>4 hr</t>
        </is>
      </c>
      <c r="K15" s="72" t="inlineStr">
        <is>
          <t>5 hr</t>
        </is>
      </c>
      <c r="L15" s="76" t="inlineStr">
        <is>
          <t>ทำงานปกติ</t>
        </is>
      </c>
      <c r="M15" s="123" t="inlineStr">
        <is>
          <t>Janboon Pisitpong</t>
        </is>
      </c>
    </row>
    <row r="16" ht="38" customHeight="1">
      <c r="A16" s="37" t="n">
        <v>7</v>
      </c>
      <c r="B16" s="116" t="inlineStr">
        <is>
          <t>24/11/2025</t>
        </is>
      </c>
      <c r="C16" s="117" t="inlineStr">
        <is>
          <t>WO-04237279</t>
        </is>
      </c>
      <c r="D16" s="117" t="inlineStr">
        <is>
          <t>02934307</t>
        </is>
      </c>
      <c r="E16" s="63" t="inlineStr">
        <is>
          <t>Repair / Troubleshooting</t>
        </is>
      </c>
      <c r="F16" s="117" t="inlineStr">
        <is>
          <t>T113</t>
        </is>
      </c>
      <c r="G16" s="118" t="inlineStr">
        <is>
          <t>Pressure switch</t>
        </is>
      </c>
      <c r="H16" s="118" t="inlineStr">
        <is>
          <t>เปลี่ยน Pressure on/off; ตรวจสอบ pressure; Run beads</t>
        </is>
      </c>
      <c r="I16" s="118" t="inlineStr">
        <is>
          <t>02-60945-00 Assembly Vent Valve-Fascan (1 pc)</t>
        </is>
      </c>
      <c r="J16" s="119" t="inlineStr">
        <is>
          <t>7 hr</t>
        </is>
      </c>
      <c r="K16" s="119" t="inlineStr">
        <is>
          <t>3 hr</t>
        </is>
      </c>
      <c r="L16" s="76" t="inlineStr">
        <is>
          <t>ทำงานปกติ</t>
        </is>
      </c>
      <c r="M16" s="120" t="inlineStr">
        <is>
          <t>Janboon Pisitpong</t>
        </is>
      </c>
    </row>
    <row r="17" ht="38" customHeight="1">
      <c r="A17" s="121" t="n">
        <v>8</v>
      </c>
      <c r="B17" s="69" t="inlineStr">
        <is>
          <t>04/11/2026</t>
        </is>
      </c>
      <c r="C17" s="70" t="inlineStr">
        <is>
          <t>WO-04409562</t>
        </is>
      </c>
      <c r="D17" s="70" t="inlineStr">
        <is>
          <t>03061476</t>
        </is>
      </c>
      <c r="E17" s="76" t="inlineStr">
        <is>
          <t>Preventive Maintenance</t>
        </is>
      </c>
      <c r="F17" s="70" t="inlineStr">
        <is>
          <t>T111</t>
        </is>
      </c>
      <c r="G17" s="71" t="inlineStr">
        <is>
          <t>PM ตามแผน</t>
        </is>
      </c>
      <c r="H17" s="71" t="inlineStr">
        <is>
          <t>PM; fluid + sheath 4.5 psi; optic/laser; electronic; Run beads; FACSComp</t>
        </is>
      </c>
      <c r="I17" s="71" t="inlineStr">
        <is>
          <t>—</t>
        </is>
      </c>
      <c r="J17" s="72" t="inlineStr">
        <is>
          <t>4 hr</t>
        </is>
      </c>
      <c r="K17" s="72" t="inlineStr">
        <is>
          <t>2 hr</t>
        </is>
      </c>
      <c r="L17" s="76" t="inlineStr">
        <is>
          <t>ทำงานปกติ</t>
        </is>
      </c>
      <c r="M17" s="123" t="inlineStr">
        <is>
          <t>Kitpakornkitti Jeeranuch</t>
        </is>
      </c>
    </row>
    <row r="18" ht="8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</row>
    <row r="19" ht="24" customHeight="1">
      <c r="A19" s="114" t="inlineStr">
        <is>
          <t xml:space="preserve">  ✅  รายการตรวจสอบ PM (PM Checklist)</t>
        </is>
      </c>
      <c r="B19" s="40" t="n"/>
      <c r="C19" s="40" t="n"/>
      <c r="D19" s="40" t="n"/>
      <c r="E19" s="40" t="n"/>
      <c r="F19" s="40" t="n"/>
      <c r="G19" s="40" t="n"/>
      <c r="H19" s="40" t="n"/>
      <c r="I19" s="40" t="n"/>
      <c r="J19" s="40" t="n"/>
      <c r="K19" s="40" t="n"/>
      <c r="L19" s="40" t="n"/>
      <c r="M19" s="41" t="n"/>
    </row>
    <row r="20" ht="28" customHeight="1">
      <c r="A20" s="115" t="inlineStr">
        <is>
          <t>รายการตรวจสอบ</t>
        </is>
      </c>
      <c r="B20" s="115" t="inlineStr">
        <is>
          <t>ผล</t>
        </is>
      </c>
      <c r="C20" s="115" t="inlineStr">
        <is>
          <t>หมายเหตุ</t>
        </is>
      </c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</row>
    <row r="21" ht="24" customHeight="1">
      <c r="A21" s="36" t="inlineStr">
        <is>
          <t>ตรวจสอบ fluid system + sheath pressure 4.5 psi</t>
        </is>
      </c>
      <c r="B21" s="76" t="inlineStr">
        <is>
          <t>✓ PASS</t>
        </is>
      </c>
      <c r="C21" s="125" t="inlineStr">
        <is>
          <t>ทุก PM</t>
        </is>
      </c>
      <c r="D21" s="40" t="n"/>
      <c r="E21" s="40" t="n"/>
      <c r="F21" s="40" t="n"/>
      <c r="G21" s="40" t="n"/>
      <c r="H21" s="40" t="n"/>
      <c r="I21" s="40" t="n"/>
      <c r="J21" s="40" t="n"/>
      <c r="K21" s="40" t="n"/>
      <c r="L21" s="40" t="n"/>
      <c r="M21" s="41" t="n"/>
    </row>
    <row r="22" ht="24" customHeight="1">
      <c r="A22" s="126" t="inlineStr">
        <is>
          <t>ตรวจสอบ optic/laser system</t>
        </is>
      </c>
      <c r="B22" s="76" t="inlineStr">
        <is>
          <t>✓ PASS</t>
        </is>
      </c>
      <c r="C22" s="87" t="inlineStr">
        <is>
          <t>ทุก PM</t>
        </is>
      </c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1" t="n"/>
    </row>
    <row r="23" ht="24" customHeight="1">
      <c r="A23" s="36" t="inlineStr">
        <is>
          <t>ตรวจสอบ electronic system</t>
        </is>
      </c>
      <c r="B23" s="76" t="inlineStr">
        <is>
          <t>✓ PASS</t>
        </is>
      </c>
      <c r="C23" s="125" t="inlineStr">
        <is>
          <t>ทุก PM</t>
        </is>
      </c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1" t="n"/>
    </row>
    <row r="24" ht="24" customHeight="1">
      <c r="A24" s="126" t="inlineStr">
        <is>
          <t>Run beads location check</t>
        </is>
      </c>
      <c r="B24" s="76" t="inlineStr">
        <is>
          <t>✓ PASS</t>
        </is>
      </c>
      <c r="C24" s="87" t="inlineStr">
        <is>
          <t>ทุก PM</t>
        </is>
      </c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1" t="n"/>
    </row>
    <row r="25" ht="24" customHeight="1">
      <c r="A25" s="36" t="inlineStr">
        <is>
          <t>Run FACSComp — All parameters</t>
        </is>
      </c>
      <c r="B25" s="76" t="inlineStr">
        <is>
          <t>✓ PASS</t>
        </is>
      </c>
      <c r="C25" s="125" t="inlineStr">
        <is>
          <t>ทุก PM</t>
        </is>
      </c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1" t="n"/>
    </row>
    <row r="26" ht="8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 ht="24" customHeight="1">
      <c r="A27" s="114" t="inlineStr">
        <is>
          <t xml:space="preserve">  📎  เอกสารแนบ / Attachments</t>
        </is>
      </c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1" t="n"/>
    </row>
    <row r="28" ht="28" customHeight="1">
      <c r="A28" s="115" t="inlineStr">
        <is>
          <t>#</t>
        </is>
      </c>
      <c r="B28" s="115" t="inlineStr">
        <is>
          <t>ประเภท</t>
        </is>
      </c>
      <c r="C28" s="115" t="inlineStr">
        <is>
          <t>Work Order</t>
        </is>
      </c>
      <c r="D28" s="115" t="inlineStr">
        <is>
          <t>วันที่</t>
        </is>
      </c>
      <c r="E28" s="115" t="inlineStr">
        <is>
          <t>คำอธิบาย</t>
        </is>
      </c>
      <c r="F28" s="115" t="inlineStr">
        <is>
          <t>📎 ไฟล์ PDF</t>
        </is>
      </c>
      <c r="G28" s="124" t="n"/>
      <c r="H28" s="124" t="n"/>
      <c r="I28" s="124" t="n"/>
      <c r="J28" s="124" t="n"/>
      <c r="K28" s="124" t="n"/>
      <c r="L28" s="124" t="n"/>
      <c r="M28" s="124" t="n"/>
    </row>
    <row r="29" ht="28" customHeight="1">
      <c r="A29" s="37" t="n">
        <v>1</v>
      </c>
      <c r="B29" s="127" t="inlineStr">
        <is>
          <t>PM Report</t>
        </is>
      </c>
      <c r="C29" s="116" t="inlineStr">
        <is>
          <t>WO-03183247</t>
        </is>
      </c>
      <c r="D29" s="116" t="inlineStr">
        <is>
          <t>10/11/2023</t>
        </is>
      </c>
      <c r="E29" s="128" t="inlineStr">
        <is>
          <t>PM ตามแผน ช่าง: Janboon</t>
        </is>
      </c>
      <c r="F29" s="129">
        <f>HYPERLINK("BD_FACSCalibur_WO03183247_10Nov2023_PM.pdf","📎 BD_FACSCalibur_WO03183247_10Nov2023_PM.pdf")</f>
        <v/>
      </c>
      <c r="G29" s="40" t="n"/>
      <c r="H29" s="40" t="n"/>
      <c r="I29" s="40" t="n"/>
      <c r="J29" s="40" t="n"/>
      <c r="K29" s="40" t="n"/>
      <c r="L29" s="40" t="n"/>
      <c r="M29" s="41" t="n"/>
    </row>
    <row r="30" ht="28" customHeight="1">
      <c r="A30" s="121" t="n">
        <v>2</v>
      </c>
      <c r="B30" s="82" t="inlineStr">
        <is>
          <t>Field Service</t>
        </is>
      </c>
      <c r="C30" s="69" t="inlineStr">
        <is>
          <t>WO-03434115</t>
        </is>
      </c>
      <c r="D30" s="69" t="inlineStr">
        <is>
          <t>23/04/2024</t>
        </is>
      </c>
      <c r="E30" s="83" t="inlineStr">
        <is>
          <t>Relocation</t>
        </is>
      </c>
      <c r="F30" s="129">
        <f>HYPERLINK("BD_FACSCalibur_WO03434115_23Apr2024_Relocation.pdf","📎 BD_FACSCalibur_WO03434115_23Apr2024_Relocation.pdf")</f>
        <v/>
      </c>
      <c r="G30" s="40" t="n"/>
      <c r="H30" s="40" t="n"/>
      <c r="I30" s="40" t="n"/>
      <c r="J30" s="40" t="n"/>
      <c r="K30" s="40" t="n"/>
      <c r="L30" s="40" t="n"/>
      <c r="M30" s="41" t="n"/>
    </row>
    <row r="31" ht="28" customHeight="1">
      <c r="A31" s="37" t="n">
        <v>3</v>
      </c>
      <c r="B31" s="127" t="inlineStr">
        <is>
          <t>Repair Report</t>
        </is>
      </c>
      <c r="C31" s="116" t="inlineStr">
        <is>
          <t>WO-03488349</t>
        </is>
      </c>
      <c r="D31" s="116" t="inlineStr">
        <is>
          <t>01/06/2024</t>
        </is>
      </c>
      <c r="E31" s="128" t="inlineStr">
        <is>
          <t>Repair: Graphic card</t>
        </is>
      </c>
      <c r="F31" s="129">
        <f>HYPERLINK("BD_FACSCalibur_WO03488349_01Jun2024_Repair_GraphicCard.pdf","📎 BD_FACSCalibur_WO03488349_01Jun2024_Repair_GraphicCard.pdf")</f>
        <v/>
      </c>
      <c r="G31" s="40" t="n"/>
      <c r="H31" s="40" t="n"/>
      <c r="I31" s="40" t="n"/>
      <c r="J31" s="40" t="n"/>
      <c r="K31" s="40" t="n"/>
      <c r="L31" s="40" t="n"/>
      <c r="M31" s="41" t="n"/>
    </row>
    <row r="32" ht="28" customHeight="1">
      <c r="A32" s="121" t="n">
        <v>4</v>
      </c>
      <c r="B32" s="82" t="inlineStr">
        <is>
          <t>Repair Report</t>
        </is>
      </c>
      <c r="C32" s="69" t="inlineStr">
        <is>
          <t>WO-03589462</t>
        </is>
      </c>
      <c r="D32" s="69" t="inlineStr">
        <is>
          <t>22/08/2024</t>
        </is>
      </c>
      <c r="E32" s="83" t="inlineStr">
        <is>
          <t>Repair: Printer</t>
        </is>
      </c>
      <c r="F32" s="129">
        <f>HYPERLINK("BD_FACSCalibur_WO03589462_22Aug2024_Repair_Printer.pdf","📎 BD_FACSCalibur_WO03589462_22Aug2024_Repair_Printer.pdf")</f>
        <v/>
      </c>
      <c r="G32" s="40" t="n"/>
      <c r="H32" s="40" t="n"/>
      <c r="I32" s="40" t="n"/>
      <c r="J32" s="40" t="n"/>
      <c r="K32" s="40" t="n"/>
      <c r="L32" s="40" t="n"/>
      <c r="M32" s="41" t="n"/>
    </row>
    <row r="33" ht="28" customHeight="1">
      <c r="A33" s="37" t="n">
        <v>5</v>
      </c>
      <c r="B33" s="127" t="inlineStr">
        <is>
          <t>PM Report</t>
        </is>
      </c>
      <c r="C33" s="116" t="inlineStr">
        <is>
          <t>WO-03651960</t>
        </is>
      </c>
      <c r="D33" s="116" t="inlineStr">
        <is>
          <t>21/10/2024</t>
        </is>
      </c>
      <c r="E33" s="128" t="inlineStr">
        <is>
          <t>PM ตามแผน</t>
        </is>
      </c>
      <c r="F33" s="129">
        <f>HYPERLINK("BD_FACSCalibur_WO03651960_21Oct2024_PM.pdf","📎 BD_FACSCalibur_WO03651960_21Oct2024_PM.pdf")</f>
        <v/>
      </c>
      <c r="G33" s="40" t="n"/>
      <c r="H33" s="40" t="n"/>
      <c r="I33" s="40" t="n"/>
      <c r="J33" s="40" t="n"/>
      <c r="K33" s="40" t="n"/>
      <c r="L33" s="40" t="n"/>
      <c r="M33" s="41" t="n"/>
    </row>
    <row r="34" ht="28" customHeight="1">
      <c r="A34" s="121" t="n">
        <v>6</v>
      </c>
      <c r="B34" s="82" t="inlineStr">
        <is>
          <t>PM Report</t>
        </is>
      </c>
      <c r="C34" s="69" t="inlineStr">
        <is>
          <t>WO-03887946</t>
        </is>
      </c>
      <c r="D34" s="69" t="inlineStr">
        <is>
          <t>30/04/2025</t>
        </is>
      </c>
      <c r="E34" s="83" t="inlineStr">
        <is>
          <t>PM ตามแผน</t>
        </is>
      </c>
      <c r="F34" s="129">
        <f>HYPERLINK("BD_FACSCalibur_WO03887946_30Apr2025_PM.pdf","📎 BD_FACSCalibur_WO03887946_30Apr2025_PM.pdf")</f>
        <v/>
      </c>
      <c r="G34" s="40" t="n"/>
      <c r="H34" s="40" t="n"/>
      <c r="I34" s="40" t="n"/>
      <c r="J34" s="40" t="n"/>
      <c r="K34" s="40" t="n"/>
      <c r="L34" s="40" t="n"/>
      <c r="M34" s="41" t="n"/>
    </row>
    <row r="35" ht="28" customHeight="1">
      <c r="A35" s="37" t="n">
        <v>7</v>
      </c>
      <c r="B35" s="127" t="inlineStr">
        <is>
          <t>Repair Report</t>
        </is>
      </c>
      <c r="C35" s="116" t="inlineStr">
        <is>
          <t>WO-04237279</t>
        </is>
      </c>
      <c r="D35" s="116" t="inlineStr">
        <is>
          <t>24/11/2025</t>
        </is>
      </c>
      <c r="E35" s="128" t="inlineStr">
        <is>
          <t>Repair: Pressure switch</t>
        </is>
      </c>
      <c r="F35" s="129">
        <f>HYPERLINK("BD_FACSCalibur_WO04237279_24Nov2025_Repair_PressureSwitch.pdf","📎 BD_FACSCalibur_WO04237279_24Nov2025_Repair_PressureSwitch.pdf")</f>
        <v/>
      </c>
      <c r="G35" s="40" t="n"/>
      <c r="H35" s="40" t="n"/>
      <c r="I35" s="40" t="n"/>
      <c r="J35" s="40" t="n"/>
      <c r="K35" s="40" t="n"/>
      <c r="L35" s="40" t="n"/>
      <c r="M35" s="41" t="n"/>
    </row>
    <row r="36" ht="28" customHeight="1">
      <c r="A36" s="121" t="n">
        <v>8</v>
      </c>
      <c r="B36" s="82" t="inlineStr">
        <is>
          <t>PM Report</t>
        </is>
      </c>
      <c r="C36" s="69" t="inlineStr">
        <is>
          <t>WO-04409562</t>
        </is>
      </c>
      <c r="D36" s="69" t="inlineStr">
        <is>
          <t>04/11/2026</t>
        </is>
      </c>
      <c r="E36" s="83" t="inlineStr">
        <is>
          <t>PM ตามแผน ช่าง: Kitpakornkitti</t>
        </is>
      </c>
      <c r="F36" s="129">
        <f>HYPERLINK("BD_FACSCalibur_WO04409562_04Nov2026_PM.pdf","📎 BD_FACSCalibur_WO04409562_04Nov2026_PM.pdf")</f>
        <v/>
      </c>
      <c r="G36" s="40" t="n"/>
      <c r="H36" s="40" t="n"/>
      <c r="I36" s="40" t="n"/>
      <c r="J36" s="40" t="n"/>
      <c r="K36" s="40" t="n"/>
      <c r="L36" s="40" t="n"/>
      <c r="M36" s="41" t="n"/>
    </row>
    <row r="37" ht="28" customHeight="1">
      <c r="A37" s="37" t="n">
        <v>9</v>
      </c>
      <c r="B37" s="127" t="inlineStr">
        <is>
          <t>PM Plan</t>
        </is>
      </c>
      <c r="C37" s="116" t="inlineStr">
        <is>
          <t>—</t>
        </is>
      </c>
      <c r="D37" s="116" t="inlineStr">
        <is>
          <t>11/06/2569</t>
        </is>
      </c>
      <c r="E37" s="128" t="inlineStr">
        <is>
          <t>แผน PM 2569 — 2 ครั้ง/ปี</t>
        </is>
      </c>
      <c r="F37" s="129">
        <f>HYPERLINK("BD_FACSCalibur_PMPlan_2569.pdf","📎 BD_FACSCalibur_PMPlan_2569.pdf")</f>
        <v/>
      </c>
      <c r="G37" s="40" t="n"/>
      <c r="H37" s="40" t="n"/>
      <c r="I37" s="40" t="n"/>
      <c r="J37" s="40" t="n"/>
      <c r="K37" s="40" t="n"/>
      <c r="L37" s="40" t="n"/>
      <c r="M37" s="41" t="n"/>
    </row>
    <row r="38" ht="18" customHeight="1">
      <c r="A38" s="84" t="inlineStr">
        <is>
          <t xml:space="preserve">  ⚠  ไฟล์ PDF ต้องอยู่ใน folder เดียวกับ Excel นี้จึงจะคลิกเปิดได้</t>
        </is>
      </c>
      <c r="B38" s="40" t="n"/>
      <c r="C38" s="40" t="n"/>
      <c r="D38" s="40" t="n"/>
      <c r="E38" s="40" t="n"/>
      <c r="F38" s="40" t="n"/>
      <c r="G38" s="40" t="n"/>
      <c r="H38" s="40" t="n"/>
      <c r="I38" s="40" t="n"/>
      <c r="J38" s="40" t="n"/>
      <c r="K38" s="40" t="n"/>
      <c r="L38" s="40" t="n"/>
      <c r="M38" s="4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</sheetData>
  <mergeCells count="32">
    <mergeCell ref="J6:L6"/>
    <mergeCell ref="G6:I6"/>
    <mergeCell ref="F29:M29"/>
    <mergeCell ref="A8:M8"/>
    <mergeCell ref="F34:M34"/>
    <mergeCell ref="C24:M24"/>
    <mergeCell ref="D7:F7"/>
    <mergeCell ref="A38:M38"/>
    <mergeCell ref="J7:L7"/>
    <mergeCell ref="A19:M19"/>
    <mergeCell ref="F30:M30"/>
    <mergeCell ref="A5:C5"/>
    <mergeCell ref="G5:I5"/>
    <mergeCell ref="C25:M25"/>
    <mergeCell ref="F33:M33"/>
    <mergeCell ref="F36:M36"/>
    <mergeCell ref="C22:M22"/>
    <mergeCell ref="F32:M32"/>
    <mergeCell ref="F35:M35"/>
    <mergeCell ref="D5:F5"/>
    <mergeCell ref="C21:M21"/>
    <mergeCell ref="F31:M31"/>
    <mergeCell ref="C23:M23"/>
    <mergeCell ref="J5:L5"/>
    <mergeCell ref="A27:M27"/>
    <mergeCell ref="F37:M37"/>
    <mergeCell ref="A6:C6"/>
    <mergeCell ref="D6:F6"/>
    <mergeCell ref="A3:M3"/>
    <mergeCell ref="A7:C7"/>
    <mergeCell ref="G7:I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2026-06-13T08:32:00Z</dcterms:created>
  <dcterms:modified xmlns:dcterms="http://purl.org/dc/terms/" xmlns:xsi="http://www.w3.org/2001/XMLSchema-instance" xsi:type="dcterms:W3CDTF">2026-06-13T12:07:51Z</dcterms:modified>
</cp:coreProperties>
</file>