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ชีต1" sheetId="1" r:id="rId4"/>
    <sheet state="visible" name="ชีต2" sheetId="2" r:id="rId5"/>
    <sheet state="visible" name="JAN2026" sheetId="3" r:id="rId6"/>
    <sheet state="visible" name="FEB2026" sheetId="4" r:id="rId7"/>
    <sheet state="visible" name="MARCH2026" sheetId="5" r:id="rId8"/>
    <sheet state="visible" name="APRIL2026" sheetId="6" r:id="rId9"/>
    <sheet state="visible" name="MAY2026" sheetId="7" r:id="rId10"/>
  </sheets>
  <definedNames/>
  <calcPr/>
  <extLst>
    <ext uri="GoogleSheetsCustomDataVersion2">
      <go:sheetsCustomData xmlns:go="http://customooxmlschemas.google.com/" r:id="rId11" roundtripDataChecksum="nAY+/OmGx4ji1a+/DCrIjrP6zykvYZa1TwyVh3jIvOA="/>
    </ext>
  </extLst>
</workbook>
</file>

<file path=xl/sharedStrings.xml><?xml version="1.0" encoding="utf-8"?>
<sst xmlns="http://schemas.openxmlformats.org/spreadsheetml/2006/main" count="193" uniqueCount="40">
  <si>
    <t>รายการสำคัญ</t>
  </si>
  <si>
    <t>วันที่สั่งซื้อ</t>
  </si>
  <si>
    <t>หมวดหมู่</t>
  </si>
  <si>
    <t>สถานะ</t>
  </si>
  <si>
    <t>รายการ</t>
  </si>
  <si>
    <t>เลข PO</t>
  </si>
  <si>
    <t>ค่าใช้จ่าย</t>
  </si>
  <si>
    <t>จำนวน</t>
  </si>
  <si>
    <t>ผู้ติดต่อ</t>
  </si>
  <si>
    <t>โน้ต</t>
  </si>
  <si>
    <t>CD4</t>
  </si>
  <si>
    <t>HIV VL</t>
  </si>
  <si>
    <t>นำส่งแล้ว</t>
  </si>
  <si>
    <t>Cobas omni pipette Tip</t>
  </si>
  <si>
    <t>อ้างถึงบืล 1318665038</t>
  </si>
  <si>
    <t>หมวดหมู่ 2</t>
  </si>
  <si>
    <t>อนุมัติแล้ว</t>
  </si>
  <si>
    <t>หมวดหมู่ 3</t>
  </si>
  <si>
    <t>จัดส่งแล้ว</t>
  </si>
  <si>
    <t>หมวดหมู่ 4</t>
  </si>
  <si>
    <t>EXP.</t>
  </si>
  <si>
    <t>ถึงภายในวันที่</t>
  </si>
  <si>
    <t>RD</t>
  </si>
  <si>
    <t>Note</t>
  </si>
  <si>
    <t>P0</t>
  </si>
  <si>
    <t>สั่งซื้อแล้ว</t>
  </si>
  <si>
    <t>HIV-1 VL 192T</t>
  </si>
  <si>
    <t xml:space="preserve">รับ 2 ค้าง 1 </t>
  </si>
  <si>
    <t>MGP</t>
  </si>
  <si>
    <t xml:space="preserve">NHP NEG </t>
  </si>
  <si>
    <t>Cobas HBV/HCV/HIV-1 control kit</t>
  </si>
  <si>
    <t>Cobas 6800/8800 lysis reagent</t>
  </si>
  <si>
    <t>Cobas 6800/8800  diluent</t>
  </si>
  <si>
    <t>Cobas wash reagent</t>
  </si>
  <si>
    <t>Solid waste bag</t>
  </si>
  <si>
    <t>Cobas omni Amplification plate</t>
  </si>
  <si>
    <t>Cobas omni processing plate</t>
  </si>
  <si>
    <t>HP black laserjet toner cartridge</t>
  </si>
  <si>
    <t>Tip 1000 ul</t>
  </si>
  <si>
    <t>Cobas Omni secondary tube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</si>
</sst>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, H:mm:ss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626E7A"/>
          <bgColor rgb="FF626E7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D7DADD"/>
          <bgColor rgb="FFD7DADD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6">
    <tableStyle count="4" pivot="0" name="ชีต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JAN2026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FEB2026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RCH2026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APRIL2026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MAY2026-style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totalsRowCount="1" ref="A1:J15" displayName="Table_1" name="Table_1" id="1">
  <tableColumns count="10">
    <tableColumn name="รายการสำคัญ" id="1"/>
    <tableColumn name="วันที่สั่งซื้อ" id="2"/>
    <tableColumn name="หมวดหมู่" id="3"/>
    <tableColumn name="สถานะ" id="4"/>
    <tableColumn name="รายการ" id="5"/>
    <tableColumn name="เลข PO" id="6"/>
    <tableColumn totalsRowFunction="custom" name="ค่าใช้จ่าย" id="7"/>
    <tableColumn name="จำนวน" id="8"/>
    <tableColumn name="ผู้ติดต่อ" id="9"/>
    <tableColumn name="โน้ต" id="10"/>
  </tableColumns>
  <tableStyleInfo name="ชีต1-style" showColumnStripes="0" showFirstColumn="1" showLastColumn="1" showRowStripes="1"/>
</table>
</file>

<file path=xl/tables/table2.xml><?xml version="1.0" encoding="utf-8"?>
<table xmlns="http://schemas.openxmlformats.org/spreadsheetml/2006/main" totalsRowCount="1" ref="A1:K17" displayName="Table_2" name="Table_2" id="2">
  <tableColumns count="11">
    <tableColumn name="รายการสำคัญ" id="1"/>
    <tableColumn name="วันที่สั่งซื้อ" id="2"/>
    <tableColumn name="หมวดหมู่" id="3"/>
    <tableColumn name="สถานะ" id="4"/>
    <tableColumn name="รายการ" id="5"/>
    <tableColumn name="จำนวน" id="6"/>
    <tableColumn name="EXP." id="7"/>
    <tableColumn name="ถึงภายในวันที่" id="8"/>
    <tableColumn name="ผู้ติดต่อ" id="9"/>
    <tableColumn name="RD" id="10"/>
    <tableColumn name="Note" id="11"/>
  </tableColumns>
  <tableStyleInfo name="JAN2026-style" showColumnStripes="0" showFirstColumn="1" showLastColumn="1" showRowStripes="1"/>
</table>
</file>

<file path=xl/tables/table3.xml><?xml version="1.0" encoding="utf-8"?>
<table xmlns="http://schemas.openxmlformats.org/spreadsheetml/2006/main" totalsRowCount="1" ref="A1:K17" displayName="Table_3" name="Table_3" id="3">
  <tableColumns count="11">
    <tableColumn name="รายการสำคัญ" id="1"/>
    <tableColumn name="วันที่สั่งซื้อ" id="2"/>
    <tableColumn name="หมวดหมู่" id="3"/>
    <tableColumn name="สถานะ" id="4"/>
    <tableColumn name="รายการ" id="5"/>
    <tableColumn name="จำนวน" id="6"/>
    <tableColumn name="EXP." id="7"/>
    <tableColumn name="ถึงภายในวันที่" id="8"/>
    <tableColumn name="ผู้ติดต่อ" id="9"/>
    <tableColumn name="โน้ต" id="10"/>
    <tableColumn name="RD" id="11"/>
  </tableColumns>
  <tableStyleInfo name="FEB2026-style" showColumnStripes="0" showFirstColumn="1" showLastColumn="1" showRowStripes="1"/>
</table>
</file>

<file path=xl/tables/table4.xml><?xml version="1.0" encoding="utf-8"?>
<table xmlns="http://schemas.openxmlformats.org/spreadsheetml/2006/main" totalsRowCount="1" ref="A1:K13" displayName="Table_4" name="Table_4" id="4">
  <tableColumns count="11">
    <tableColumn name="รายการสำคัญ" id="1"/>
    <tableColumn name="วันที่สั่งซื้อ" id="2"/>
    <tableColumn name="หมวดหมู่" id="3"/>
    <tableColumn name="สถานะ" id="4"/>
    <tableColumn name="รายการ" id="5"/>
    <tableColumn name="จำนวน" id="6"/>
    <tableColumn name="EXP." id="7"/>
    <tableColumn name="ถึงภายในวันที่" id="8"/>
    <tableColumn name="ผู้ติดต่อ" id="9"/>
    <tableColumn name="โน้ต" id="10"/>
    <tableColumn name="RD" id="11"/>
  </tableColumns>
  <tableStyleInfo name="MARCH2026-style" showColumnStripes="0" showFirstColumn="1" showLastColumn="1" showRowStripes="1"/>
</table>
</file>

<file path=xl/tables/table5.xml><?xml version="1.0" encoding="utf-8"?>
<table xmlns="http://schemas.openxmlformats.org/spreadsheetml/2006/main" totalsRowCount="1" ref="A1:K13" displayName="Table_5" name="Table_5" id="5">
  <tableColumns count="11">
    <tableColumn name="รายการสำคัญ" id="1"/>
    <tableColumn name="วันที่สั่งซื้อ" id="2"/>
    <tableColumn name="หมวดหมู่" id="3"/>
    <tableColumn name="สถานะ" id="4"/>
    <tableColumn name="รายการ" id="5"/>
    <tableColumn name="จำนวน" id="6"/>
    <tableColumn name="EXP." id="7"/>
    <tableColumn name="ถึงภายในวันที่" id="8"/>
    <tableColumn name="ผู้ติดต่อ" id="9"/>
    <tableColumn name="โน้ต" id="10"/>
    <tableColumn name="RD" id="11"/>
  </tableColumns>
  <tableStyleInfo name="APRIL2026-style" showColumnStripes="0" showFirstColumn="1" showLastColumn="1" showRowStripes="1"/>
</table>
</file>

<file path=xl/tables/table6.xml><?xml version="1.0" encoding="utf-8"?>
<table xmlns="http://schemas.openxmlformats.org/spreadsheetml/2006/main" totalsRowCount="1" ref="A1:K13" displayName="Table_6" name="Table_6" id="6">
  <tableColumns count="11">
    <tableColumn name="รายการสำคัญ" id="1"/>
    <tableColumn name="วันที่สั่งซื้อ" id="2"/>
    <tableColumn name="หมวดหมู่" id="3"/>
    <tableColumn name="สถานะ" id="4"/>
    <tableColumn name="รายการ" id="5"/>
    <tableColumn name="จำนวน" id="6"/>
    <tableColumn name="EXP." id="7"/>
    <tableColumn name="ถึงภายในวันที่" id="8"/>
    <tableColumn name="ผู้ติดต่อ" id="9"/>
    <tableColumn name="โน้ต" id="10"/>
    <tableColumn name="RD" id="11"/>
  </tableColumns>
  <tableStyleInfo name="MAY202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5.75"/>
    <col customWidth="1" min="3" max="3" width="17.63"/>
    <col customWidth="1" min="4" max="4" width="15.13"/>
    <col customWidth="1" min="5" max="5" width="17.63"/>
    <col customWidth="1" min="6" max="8" width="15.13"/>
    <col customWidth="1" min="9" max="9" width="22.63"/>
    <col customWidth="1" min="10" max="10" width="22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2" t="s">
        <v>10</v>
      </c>
      <c r="B2" s="3">
        <v>45992.0</v>
      </c>
      <c r="C2" s="2" t="s">
        <v>11</v>
      </c>
      <c r="D2" s="2" t="s">
        <v>12</v>
      </c>
      <c r="E2" s="2" t="s">
        <v>13</v>
      </c>
      <c r="F2" s="2">
        <v>1.319237948E9</v>
      </c>
      <c r="G2" s="2">
        <v>105702.09</v>
      </c>
      <c r="H2" s="2">
        <v>447.0</v>
      </c>
      <c r="I2" s="4"/>
      <c r="J2" s="4" t="s">
        <v>14</v>
      </c>
    </row>
    <row r="3" ht="22.5" customHeight="1">
      <c r="A3" s="2"/>
      <c r="B3" s="3"/>
      <c r="C3" s="2" t="s">
        <v>15</v>
      </c>
      <c r="D3" s="2" t="s">
        <v>16</v>
      </c>
      <c r="E3" s="2"/>
      <c r="F3" s="2"/>
      <c r="G3" s="2"/>
      <c r="H3" s="2"/>
      <c r="I3" s="4"/>
      <c r="J3" s="4"/>
    </row>
    <row r="4" ht="22.5" customHeight="1">
      <c r="A4" s="2"/>
      <c r="B4" s="3"/>
      <c r="C4" s="2" t="s">
        <v>17</v>
      </c>
      <c r="D4" s="2" t="s">
        <v>18</v>
      </c>
      <c r="E4" s="2"/>
      <c r="F4" s="2"/>
      <c r="G4" s="2"/>
      <c r="H4" s="2"/>
      <c r="I4" s="4"/>
      <c r="J4" s="4"/>
    </row>
    <row r="5" ht="22.5" customHeight="1">
      <c r="A5" s="2"/>
      <c r="B5" s="3"/>
      <c r="C5" s="2" t="s">
        <v>19</v>
      </c>
      <c r="D5" s="2" t="s">
        <v>12</v>
      </c>
      <c r="E5" s="2"/>
      <c r="F5" s="2"/>
      <c r="G5" s="2"/>
      <c r="H5" s="2"/>
      <c r="I5" s="4"/>
      <c r="J5" s="4"/>
    </row>
    <row r="6" ht="22.5" customHeight="1">
      <c r="A6" s="2"/>
      <c r="B6" s="3"/>
      <c r="C6" s="2"/>
      <c r="D6" s="2"/>
      <c r="E6" s="2"/>
      <c r="F6" s="2"/>
      <c r="G6" s="2"/>
      <c r="H6" s="2"/>
      <c r="I6" s="4"/>
      <c r="J6" s="4"/>
    </row>
    <row r="7" ht="22.5" customHeight="1">
      <c r="A7" s="2"/>
      <c r="B7" s="3"/>
      <c r="C7" s="2"/>
      <c r="D7" s="2"/>
      <c r="E7" s="2"/>
      <c r="F7" s="2"/>
      <c r="G7" s="2"/>
      <c r="H7" s="2"/>
      <c r="I7" s="4"/>
      <c r="J7" s="4"/>
    </row>
    <row r="8" ht="22.5" customHeight="1">
      <c r="A8" s="2"/>
      <c r="B8" s="3"/>
      <c r="C8" s="2"/>
      <c r="D8" s="2"/>
      <c r="E8" s="2"/>
      <c r="F8" s="2"/>
      <c r="G8" s="2"/>
      <c r="H8" s="2"/>
      <c r="I8" s="4"/>
      <c r="J8" s="4"/>
    </row>
    <row r="9" ht="22.5" customHeight="1">
      <c r="A9" s="2"/>
      <c r="B9" s="3"/>
      <c r="C9" s="2"/>
      <c r="D9" s="2"/>
      <c r="E9" s="2"/>
      <c r="F9" s="2"/>
      <c r="G9" s="2"/>
      <c r="H9" s="2"/>
      <c r="I9" s="4"/>
      <c r="J9" s="4"/>
    </row>
    <row r="10" ht="22.5" customHeight="1">
      <c r="A10" s="2"/>
      <c r="B10" s="3"/>
      <c r="C10" s="2"/>
      <c r="D10" s="2"/>
      <c r="E10" s="2"/>
      <c r="F10" s="2"/>
      <c r="G10" s="2"/>
      <c r="H10" s="2"/>
      <c r="I10" s="4"/>
      <c r="J10" s="4"/>
    </row>
    <row r="11" ht="22.5" customHeight="1">
      <c r="A11" s="2"/>
      <c r="B11" s="3"/>
      <c r="C11" s="2"/>
      <c r="D11" s="2"/>
      <c r="E11" s="2"/>
      <c r="F11" s="2"/>
      <c r="G11" s="2"/>
      <c r="H11" s="2"/>
      <c r="I11" s="4"/>
      <c r="J11" s="4"/>
    </row>
    <row r="12" ht="22.5" customHeight="1">
      <c r="A12" s="2"/>
      <c r="B12" s="3"/>
      <c r="C12" s="2"/>
      <c r="D12" s="2"/>
      <c r="E12" s="2"/>
      <c r="F12" s="2"/>
      <c r="G12" s="2"/>
      <c r="H12" s="2"/>
      <c r="I12" s="4"/>
      <c r="J12" s="4"/>
    </row>
    <row r="13" ht="22.5" customHeight="1">
      <c r="A13" s="2"/>
      <c r="B13" s="3"/>
      <c r="C13" s="2"/>
      <c r="D13" s="2"/>
      <c r="E13" s="2"/>
      <c r="F13" s="2"/>
      <c r="G13" s="2"/>
      <c r="H13" s="2"/>
      <c r="I13" s="4"/>
      <c r="J13" s="4"/>
    </row>
    <row r="14" ht="22.5" customHeight="1">
      <c r="A14" s="2"/>
      <c r="B14" s="3"/>
      <c r="C14" s="2"/>
      <c r="D14" s="2"/>
      <c r="E14" s="2"/>
      <c r="F14" s="2"/>
      <c r="G14" s="2"/>
      <c r="H14" s="2"/>
      <c r="I14" s="4"/>
      <c r="J14" s="4"/>
    </row>
    <row r="15" ht="22.5" customHeight="1">
      <c r="A15" s="2"/>
      <c r="B15" s="2"/>
      <c r="C15" s="2"/>
      <c r="D15" s="2"/>
      <c r="E15" s="2"/>
      <c r="F15" s="2"/>
      <c r="G15" s="2">
        <f>SUM('ชีต1'!$G$2:$G$14)</f>
        <v>105702.09</v>
      </c>
      <c r="H15" s="2"/>
      <c r="I15" s="2"/>
      <c r="J15" s="2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qref="C2:C14">
      <formula1>"CD4,HIV VL,HPV"</formula1>
    </dataValidation>
    <dataValidation type="list" allowBlank="1" sqref="A2:A14">
      <formula1>"CD4,VL,HPV"</formula1>
    </dataValidation>
    <dataValidation type="custom" allowBlank="1" showDropDown="1" sqref="B2:B14">
      <formula1>OR(NOT(ISERROR(DATEVALUE(B2))), AND(ISNUMBER(B2), LEFT(CELL("format", B2))="D"))</formula1>
    </dataValidation>
    <dataValidation type="list" allowBlank="1" sqref="E2:E14">
      <formula1>"Absolute Trucount Tube,Tritest CD45/CD4/CD3,FACSFlow,FACSClean,FACSCalibur,HIV-1 VL 192T,NHP NEG,Cobas HBV/HCV/HIV-1 control kit,HPV,Cobas HPV Positive control Kit,Cobas buffer negative control kit,Cobas Omni secondary tube,Cobas wash reagent,Cobas 6800/8"&amp;"800 lysis reagent,Cobas 6800/8800  diluent,MGP,Cobas omni processing plate,Cobas omni Amplification plate,HP black laserjet toner cartridge,Solid waste bag,Cobas omni pipette Tip"</formula1>
    </dataValidation>
    <dataValidation type="custom" allowBlank="1" showDropDown="1" sqref="F2:G14">
      <formula1>AND(ISNUMBER(F2),(NOT(OR(NOT(ISERROR(DATEVALUE(F2))), AND(ISNUMBER(F2), LEFT(CELL("format", F2))="D")))))</formula1>
    </dataValidation>
    <dataValidation type="list" allowBlank="1" sqref="D2:D14">
      <formula1>"สั่งซื้อแล้ว,อนุมัติแล้ว,จัดส่งแล้ว,นำส่งแล้ว"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5.75"/>
    <col customWidth="1" min="3" max="3" width="17.63"/>
    <col customWidth="1" min="4" max="4" width="15.13"/>
    <col customWidth="1" min="5" max="5" width="32.63"/>
    <col customWidth="1" min="6" max="8" width="15.13"/>
    <col customWidth="1" min="9" max="9" width="22.63"/>
    <col customWidth="1" min="10" max="11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20</v>
      </c>
      <c r="H1" s="1" t="s">
        <v>21</v>
      </c>
      <c r="I1" s="1" t="s">
        <v>8</v>
      </c>
      <c r="J1" s="1" t="s">
        <v>22</v>
      </c>
      <c r="K1" s="1" t="s">
        <v>23</v>
      </c>
    </row>
    <row r="2" ht="22.5" customHeight="1">
      <c r="A2" s="2" t="s">
        <v>24</v>
      </c>
      <c r="B2" s="5">
        <v>46014.0</v>
      </c>
      <c r="C2" s="2" t="s">
        <v>11</v>
      </c>
      <c r="D2" s="2" t="s">
        <v>25</v>
      </c>
      <c r="E2" s="2" t="s">
        <v>26</v>
      </c>
      <c r="F2" s="2">
        <v>3.0</v>
      </c>
      <c r="G2" s="3"/>
      <c r="H2" s="3"/>
      <c r="I2" s="4"/>
      <c r="J2" s="2" t="s">
        <v>27</v>
      </c>
      <c r="K2" s="2"/>
    </row>
    <row r="3" ht="22.5" customHeight="1">
      <c r="A3" s="2"/>
      <c r="B3" s="5"/>
      <c r="C3" s="2" t="s">
        <v>11</v>
      </c>
      <c r="D3" s="2" t="s">
        <v>25</v>
      </c>
      <c r="E3" s="2" t="s">
        <v>28</v>
      </c>
      <c r="F3" s="2">
        <v>3.0</v>
      </c>
      <c r="G3" s="3"/>
      <c r="H3" s="3"/>
      <c r="I3" s="4"/>
      <c r="J3" s="2">
        <v>2.0</v>
      </c>
      <c r="K3" s="2"/>
    </row>
    <row r="4" ht="22.5" customHeight="1">
      <c r="A4" s="2"/>
      <c r="B4" s="5"/>
      <c r="C4" s="2" t="s">
        <v>11</v>
      </c>
      <c r="D4" s="2" t="s">
        <v>25</v>
      </c>
      <c r="E4" s="2" t="s">
        <v>29</v>
      </c>
      <c r="F4" s="2">
        <v>3.0</v>
      </c>
      <c r="G4" s="3"/>
      <c r="H4" s="3"/>
      <c r="I4" s="4"/>
      <c r="J4" s="2">
        <v>0.0</v>
      </c>
      <c r="K4" s="2"/>
    </row>
    <row r="5" ht="22.5" customHeight="1">
      <c r="A5" s="2"/>
      <c r="B5" s="5"/>
      <c r="C5" s="2" t="s">
        <v>11</v>
      </c>
      <c r="D5" s="2" t="s">
        <v>25</v>
      </c>
      <c r="E5" s="2" t="s">
        <v>30</v>
      </c>
      <c r="F5" s="2">
        <v>6.0</v>
      </c>
      <c r="G5" s="3"/>
      <c r="H5" s="3"/>
      <c r="I5" s="4"/>
      <c r="J5" s="2">
        <v>3.0</v>
      </c>
      <c r="K5" s="2"/>
    </row>
    <row r="6" ht="22.5" customHeight="1">
      <c r="A6" s="2"/>
      <c r="B6" s="5"/>
      <c r="C6" s="2" t="s">
        <v>11</v>
      </c>
      <c r="D6" s="2" t="s">
        <v>25</v>
      </c>
      <c r="E6" s="2" t="s">
        <v>31</v>
      </c>
      <c r="F6" s="2">
        <v>20.0</v>
      </c>
      <c r="G6" s="3"/>
      <c r="H6" s="3"/>
      <c r="I6" s="4"/>
      <c r="J6" s="2">
        <v>10.0</v>
      </c>
      <c r="K6" s="2"/>
    </row>
    <row r="7" ht="22.5" customHeight="1">
      <c r="A7" s="2"/>
      <c r="B7" s="5"/>
      <c r="C7" s="2" t="s">
        <v>11</v>
      </c>
      <c r="D7" s="2" t="s">
        <v>25</v>
      </c>
      <c r="E7" s="2" t="s">
        <v>32</v>
      </c>
      <c r="F7" s="2">
        <v>20.0</v>
      </c>
      <c r="G7" s="3"/>
      <c r="H7" s="3"/>
      <c r="I7" s="4"/>
      <c r="J7" s="2">
        <v>10.0</v>
      </c>
      <c r="K7" s="2"/>
    </row>
    <row r="8" ht="22.5" customHeight="1">
      <c r="A8" s="2"/>
      <c r="B8" s="5"/>
      <c r="C8" s="2" t="s">
        <v>11</v>
      </c>
      <c r="D8" s="2" t="s">
        <v>25</v>
      </c>
      <c r="E8" s="2" t="s">
        <v>33</v>
      </c>
      <c r="F8" s="2">
        <v>10.0</v>
      </c>
      <c r="G8" s="3"/>
      <c r="H8" s="3"/>
      <c r="I8" s="4"/>
      <c r="J8" s="2">
        <v>10.0</v>
      </c>
      <c r="K8" s="2"/>
    </row>
    <row r="9" ht="22.5" customHeight="1">
      <c r="A9" s="2"/>
      <c r="B9" s="5"/>
      <c r="C9" s="2" t="s">
        <v>11</v>
      </c>
      <c r="D9" s="2" t="s">
        <v>25</v>
      </c>
      <c r="E9" s="2" t="s">
        <v>34</v>
      </c>
      <c r="F9" s="2">
        <v>1.0</v>
      </c>
      <c r="G9" s="3"/>
      <c r="H9" s="3"/>
      <c r="I9" s="4"/>
      <c r="J9" s="2">
        <v>1.0</v>
      </c>
      <c r="K9" s="2"/>
    </row>
    <row r="10" ht="22.5" customHeight="1">
      <c r="A10" s="2"/>
      <c r="B10" s="5"/>
      <c r="C10" s="2"/>
      <c r="D10" s="2"/>
      <c r="E10" s="2"/>
      <c r="F10" s="2"/>
      <c r="G10" s="3"/>
      <c r="H10" s="3"/>
      <c r="I10" s="4"/>
      <c r="J10" s="2"/>
      <c r="K10" s="2"/>
    </row>
    <row r="11" ht="22.5" customHeight="1">
      <c r="A11" s="2"/>
      <c r="B11" s="5"/>
      <c r="C11" s="2"/>
      <c r="D11" s="2"/>
      <c r="E11" s="2"/>
      <c r="F11" s="2"/>
      <c r="G11" s="3"/>
      <c r="H11" s="3"/>
      <c r="I11" s="4"/>
      <c r="J11" s="2"/>
      <c r="K11" s="2"/>
    </row>
    <row r="12" ht="22.5" customHeight="1">
      <c r="A12" s="2"/>
      <c r="B12" s="5"/>
      <c r="C12" s="2"/>
      <c r="D12" s="2"/>
      <c r="E12" s="2"/>
      <c r="F12" s="2"/>
      <c r="G12" s="3"/>
      <c r="H12" s="3"/>
      <c r="I12" s="4"/>
      <c r="J12" s="2"/>
      <c r="K12" s="2"/>
    </row>
    <row r="13" ht="22.5" customHeight="1">
      <c r="A13" s="2"/>
      <c r="B13" s="5"/>
      <c r="C13" s="2"/>
      <c r="D13" s="2"/>
      <c r="E13" s="2"/>
      <c r="F13" s="2"/>
      <c r="G13" s="3"/>
      <c r="H13" s="3"/>
      <c r="I13" s="4"/>
      <c r="J13" s="2"/>
      <c r="K13" s="2"/>
    </row>
    <row r="14" ht="22.5" customHeight="1">
      <c r="A14" s="2"/>
      <c r="B14" s="5"/>
      <c r="C14" s="2"/>
      <c r="D14" s="2"/>
      <c r="E14" s="2"/>
      <c r="F14" s="2"/>
      <c r="G14" s="3"/>
      <c r="H14" s="3"/>
      <c r="I14" s="4"/>
      <c r="J14" s="2"/>
      <c r="K14" s="2"/>
    </row>
    <row r="15" ht="22.5" customHeight="1">
      <c r="A15" s="2"/>
      <c r="B15" s="5"/>
      <c r="C15" s="2"/>
      <c r="D15" s="2"/>
      <c r="E15" s="2"/>
      <c r="F15" s="2"/>
      <c r="G15" s="3"/>
      <c r="H15" s="3"/>
      <c r="I15" s="4"/>
      <c r="J15" s="2"/>
      <c r="K15" s="2"/>
    </row>
    <row r="16" ht="22.5" customHeight="1">
      <c r="A16" s="2"/>
      <c r="B16" s="5"/>
      <c r="C16" s="2"/>
      <c r="D16" s="2"/>
      <c r="E16" s="2"/>
      <c r="F16" s="2"/>
      <c r="G16" s="3"/>
      <c r="H16" s="3"/>
      <c r="I16" s="4"/>
      <c r="J16" s="2"/>
      <c r="K16" s="2"/>
    </row>
    <row r="17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">
    <cfRule type="notContainsBlanks" dxfId="5" priority="1">
      <formula>LEN(TRIM(G2))&gt;0</formula>
    </cfRule>
  </conditionalFormatting>
  <dataValidations>
    <dataValidation type="list" allowBlank="1" sqref="C2:C16">
      <formula1>"CD4,HIV VL,HPV"</formula1>
    </dataValidation>
    <dataValidation type="custom" allowBlank="1" showDropDown="1" sqref="B2:B16 G2:H16">
      <formula1>OR(NOT(ISERROR(DATEVALUE(B2))), AND(ISNUMBER(B2), LEFT(CELL("format", B2))="D"))</formula1>
    </dataValidation>
    <dataValidation type="list" allowBlank="1" sqref="E2:E16">
      <formula1>"Absolute Trucount Tube,Tritest CD45/CD4/CD3,FACSFlow,FACSClean,FACSCalibur,HIV-1 VL 192T,NHP NEG,Cobas HBV/HCV/HIV-1 control kit,HPV,Cobas HPV Positive control Kit,Cobas buffer negative control kit,Cobas Omni secondary tube,Cobas wash reagent,Cobas 6800/8"&amp;"800 lysis reagent,Cobas 6800/8800  diluent,MGP,Cobas omni processing plate,Cobas omni Amplification plate,HP black laserjet toner cartridge,Solid waste bag,Cobas omni pipette Tip"</formula1>
    </dataValidation>
    <dataValidation type="custom" allowBlank="1" showDropDown="1" sqref="F2:F16 J2:J16">
      <formula1>AND(ISNUMBER(F2),(NOT(OR(NOT(ISERROR(DATEVALUE(F2))), AND(ISNUMBER(F2), LEFT(CELL("format", F2))="D")))))</formula1>
    </dataValidation>
    <dataValidation type="list" allowBlank="1" sqref="A2:A16">
      <formula1>"P0,P1,P2,P3"</formula1>
    </dataValidation>
    <dataValidation type="list" allowBlank="1" sqref="D2:D16">
      <formula1>"สั่งซื้อแล้ว,อนุมัติแล้ว,จัดส่งแล้ว,นำส่งแล้ว"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5.75"/>
    <col customWidth="1" min="3" max="3" width="17.63"/>
    <col customWidth="1" min="4" max="4" width="15.13"/>
    <col customWidth="1" min="5" max="5" width="28.88"/>
    <col customWidth="1" min="6" max="8" width="15.13"/>
    <col customWidth="1" min="9" max="9" width="22.63"/>
    <col customWidth="1" min="10" max="11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20</v>
      </c>
      <c r="H1" s="1" t="s">
        <v>21</v>
      </c>
      <c r="I1" s="1" t="s">
        <v>8</v>
      </c>
      <c r="J1" s="1" t="s">
        <v>9</v>
      </c>
      <c r="K1" s="6" t="s">
        <v>22</v>
      </c>
    </row>
    <row r="2" ht="22.5" customHeight="1">
      <c r="A2" s="2" t="s">
        <v>24</v>
      </c>
      <c r="B2" s="3">
        <v>46050.0</v>
      </c>
      <c r="C2" s="2" t="s">
        <v>11</v>
      </c>
      <c r="D2" s="2" t="s">
        <v>25</v>
      </c>
      <c r="E2" s="2" t="s">
        <v>26</v>
      </c>
      <c r="F2" s="2">
        <v>4.0</v>
      </c>
      <c r="G2" s="3"/>
      <c r="H2" s="3"/>
      <c r="I2" s="4"/>
      <c r="J2" s="4"/>
      <c r="K2" s="2"/>
    </row>
    <row r="3" ht="22.5" customHeight="1">
      <c r="A3" s="2"/>
      <c r="B3" s="3"/>
      <c r="C3" s="2" t="s">
        <v>11</v>
      </c>
      <c r="D3" s="2" t="s">
        <v>25</v>
      </c>
      <c r="E3" s="2" t="s">
        <v>28</v>
      </c>
      <c r="F3" s="2">
        <v>4.0</v>
      </c>
      <c r="G3" s="3"/>
      <c r="H3" s="3"/>
      <c r="I3" s="4"/>
      <c r="J3" s="4"/>
      <c r="K3" s="2"/>
    </row>
    <row r="4" ht="22.5" customHeight="1">
      <c r="A4" s="2"/>
      <c r="B4" s="3"/>
      <c r="C4" s="2" t="s">
        <v>11</v>
      </c>
      <c r="D4" s="2" t="s">
        <v>25</v>
      </c>
      <c r="E4" s="2" t="s">
        <v>29</v>
      </c>
      <c r="F4" s="2">
        <v>4.0</v>
      </c>
      <c r="G4" s="3"/>
      <c r="H4" s="3"/>
      <c r="I4" s="4"/>
      <c r="J4" s="4"/>
      <c r="K4" s="2"/>
    </row>
    <row r="5" ht="22.5" customHeight="1">
      <c r="A5" s="2"/>
      <c r="B5" s="3"/>
      <c r="C5" s="2" t="s">
        <v>11</v>
      </c>
      <c r="D5" s="2" t="s">
        <v>25</v>
      </c>
      <c r="E5" s="2" t="s">
        <v>30</v>
      </c>
      <c r="F5" s="2">
        <v>8.0</v>
      </c>
      <c r="G5" s="3"/>
      <c r="H5" s="3"/>
      <c r="I5" s="4"/>
      <c r="J5" s="4"/>
      <c r="K5" s="2"/>
    </row>
    <row r="6" ht="22.5" customHeight="1">
      <c r="A6" s="2"/>
      <c r="B6" s="3"/>
      <c r="C6" s="2" t="s">
        <v>11</v>
      </c>
      <c r="D6" s="2" t="s">
        <v>25</v>
      </c>
      <c r="E6" s="2" t="s">
        <v>31</v>
      </c>
      <c r="F6" s="2">
        <v>20.0</v>
      </c>
      <c r="G6" s="3"/>
      <c r="H6" s="3"/>
      <c r="I6" s="4"/>
      <c r="J6" s="4"/>
      <c r="K6" s="2"/>
    </row>
    <row r="7" ht="22.5" customHeight="1">
      <c r="A7" s="2"/>
      <c r="B7" s="3"/>
      <c r="C7" s="2" t="s">
        <v>11</v>
      </c>
      <c r="D7" s="2" t="s">
        <v>25</v>
      </c>
      <c r="E7" s="2" t="s">
        <v>32</v>
      </c>
      <c r="F7" s="2">
        <v>20.0</v>
      </c>
      <c r="G7" s="3"/>
      <c r="H7" s="3"/>
      <c r="I7" s="4"/>
      <c r="J7" s="4"/>
      <c r="K7" s="2"/>
    </row>
    <row r="8" ht="22.5" customHeight="1">
      <c r="A8" s="2"/>
      <c r="B8" s="3"/>
      <c r="C8" s="2" t="s">
        <v>11</v>
      </c>
      <c r="D8" s="2" t="s">
        <v>25</v>
      </c>
      <c r="E8" s="2" t="s">
        <v>33</v>
      </c>
      <c r="F8" s="2">
        <v>10.0</v>
      </c>
      <c r="G8" s="3"/>
      <c r="H8" s="3"/>
      <c r="I8" s="4"/>
      <c r="J8" s="4"/>
      <c r="K8" s="2"/>
    </row>
    <row r="9" ht="22.5" customHeight="1">
      <c r="A9" s="2"/>
      <c r="B9" s="3"/>
      <c r="C9" s="2" t="s">
        <v>11</v>
      </c>
      <c r="D9" s="2" t="s">
        <v>25</v>
      </c>
      <c r="E9" s="2" t="s">
        <v>34</v>
      </c>
      <c r="F9" s="2">
        <v>1.0</v>
      </c>
      <c r="G9" s="3"/>
      <c r="H9" s="3"/>
      <c r="I9" s="4"/>
      <c r="J9" s="4"/>
      <c r="K9" s="2"/>
    </row>
    <row r="10" ht="22.5" customHeight="1">
      <c r="A10" s="2"/>
      <c r="B10" s="3"/>
      <c r="C10" s="2" t="s">
        <v>11</v>
      </c>
      <c r="D10" s="2" t="s">
        <v>25</v>
      </c>
      <c r="E10" s="2" t="s">
        <v>13</v>
      </c>
      <c r="F10" s="2">
        <v>4.0</v>
      </c>
      <c r="G10" s="3"/>
      <c r="H10" s="3"/>
      <c r="I10" s="4"/>
      <c r="J10" s="4"/>
      <c r="K10" s="2"/>
    </row>
    <row r="11" ht="22.5" customHeight="1">
      <c r="A11" s="2"/>
      <c r="B11" s="3"/>
      <c r="C11" s="2" t="s">
        <v>11</v>
      </c>
      <c r="D11" s="2" t="s">
        <v>25</v>
      </c>
      <c r="E11" s="2" t="s">
        <v>35</v>
      </c>
      <c r="F11" s="2">
        <v>4.0</v>
      </c>
      <c r="G11" s="3"/>
      <c r="H11" s="3"/>
      <c r="I11" s="4"/>
      <c r="J11" s="4"/>
      <c r="K11" s="2"/>
    </row>
    <row r="12" ht="22.5" customHeight="1">
      <c r="A12" s="2"/>
      <c r="B12" s="3"/>
      <c r="C12" s="2" t="s">
        <v>11</v>
      </c>
      <c r="D12" s="2" t="s">
        <v>25</v>
      </c>
      <c r="E12" s="2" t="s">
        <v>36</v>
      </c>
      <c r="F12" s="2">
        <v>4.0</v>
      </c>
      <c r="G12" s="3"/>
      <c r="H12" s="3"/>
      <c r="I12" s="4"/>
      <c r="J12" s="4"/>
      <c r="K12" s="2"/>
    </row>
    <row r="13" ht="22.5" customHeight="1">
      <c r="A13" s="2"/>
      <c r="B13" s="3"/>
      <c r="C13" s="2" t="s">
        <v>11</v>
      </c>
      <c r="D13" s="2" t="s">
        <v>25</v>
      </c>
      <c r="E13" s="2" t="s">
        <v>37</v>
      </c>
      <c r="F13" s="2">
        <v>1.0</v>
      </c>
      <c r="G13" s="3"/>
      <c r="H13" s="3"/>
      <c r="I13" s="4"/>
      <c r="J13" s="4"/>
      <c r="K13" s="2"/>
    </row>
    <row r="14" ht="22.5" customHeight="1">
      <c r="A14" s="2"/>
      <c r="B14" s="3"/>
      <c r="C14" s="2" t="s">
        <v>11</v>
      </c>
      <c r="D14" s="2" t="s">
        <v>25</v>
      </c>
      <c r="E14" s="2" t="s">
        <v>38</v>
      </c>
      <c r="F14" s="2">
        <v>1.0</v>
      </c>
      <c r="G14" s="3"/>
      <c r="H14" s="3"/>
      <c r="I14" s="4"/>
      <c r="J14" s="4"/>
      <c r="K14" s="2"/>
    </row>
    <row r="15" ht="22.5" customHeight="1">
      <c r="A15" s="2"/>
      <c r="B15" s="3"/>
      <c r="C15" s="2"/>
      <c r="D15" s="2"/>
      <c r="E15" s="2"/>
      <c r="F15" s="2"/>
      <c r="G15" s="3"/>
      <c r="H15" s="3"/>
      <c r="I15" s="4"/>
      <c r="J15" s="4"/>
      <c r="K15" s="2"/>
    </row>
    <row r="16" ht="22.5" customHeight="1">
      <c r="A16" s="2"/>
      <c r="B16" s="3"/>
      <c r="C16" s="2"/>
      <c r="D16" s="2"/>
      <c r="E16" s="2"/>
      <c r="F16" s="2"/>
      <c r="G16" s="3"/>
      <c r="H16" s="3"/>
      <c r="I16" s="4"/>
      <c r="J16" s="4"/>
      <c r="K16" s="2"/>
    </row>
    <row r="17" ht="22.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">
    <cfRule type="notContainsBlanks" dxfId="5" priority="1">
      <formula>LEN(TRIM(G2))&gt;0</formula>
    </cfRule>
  </conditionalFormatting>
  <conditionalFormatting sqref="B2">
    <cfRule type="timePeriod" dxfId="5" priority="2" timePeriod="today"/>
  </conditionalFormatting>
  <dataValidations>
    <dataValidation type="list" allowBlank="1" sqref="C2:C16">
      <formula1>"CD4,HIV VL,HPV"</formula1>
    </dataValidation>
    <dataValidation type="list" allowBlank="1" sqref="E2:E16">
      <formula1>"Absolute Trucount Tube,Tritest CD45/CD4/CD3,FACSFlow,FACSClean,FACSCalibur,HIV-1 VL 192T,NHP NEG,Cobas HBV/HCV/HIV-1 control kit,HPV,Cobas HPV Positive control Kit,Cobas buffer negative control kit,Cobas Omni secondary tube,Cobas wash reagent,Cobas 6800/8"&amp;"800 lysis reagent,Cobas 6800/8800  diluent,MGP,Cobas omni processing plate,Cobas omni Amplification plate,HP black laserjet toner cartridge,Solid waste bag,Cobas omni pipette Tip,Tip 1000 ul"</formula1>
    </dataValidation>
    <dataValidation type="custom" allowBlank="1" showDropDown="1" sqref="B2:B16 G2:H16">
      <formula1>OR(NOT(ISERROR(DATEVALUE(B2))), AND(ISNUMBER(B2), LEFT(CELL("format", B2))="D"))</formula1>
    </dataValidation>
    <dataValidation type="custom" allowBlank="1" showDropDown="1" sqref="F2:F16">
      <formula1>AND(ISNUMBER(F2),(NOT(OR(NOT(ISERROR(DATEVALUE(F2))), AND(ISNUMBER(F2), LEFT(CELL("format", F2))="D")))))</formula1>
    </dataValidation>
    <dataValidation type="list" allowBlank="1" sqref="A2:A16">
      <formula1>"P0,P1,P2,P3"</formula1>
    </dataValidation>
    <dataValidation type="list" allowBlank="1" sqref="D2:D16">
      <formula1>"สั่งซื้อแล้ว,อนุมัติแล้ว,จัดส่งแล้ว,นำส่งแล้ว"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5.75"/>
    <col customWidth="1" min="3" max="3" width="17.63"/>
    <col customWidth="1" min="4" max="4" width="15.13"/>
    <col customWidth="1" min="5" max="5" width="28.88"/>
    <col customWidth="1" min="6" max="8" width="15.13"/>
    <col customWidth="1" min="9" max="9" width="22.63"/>
    <col customWidth="1" min="10" max="11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20</v>
      </c>
      <c r="H1" s="1" t="s">
        <v>21</v>
      </c>
      <c r="I1" s="1" t="s">
        <v>8</v>
      </c>
      <c r="J1" s="1" t="s">
        <v>9</v>
      </c>
      <c r="K1" s="6" t="s">
        <v>22</v>
      </c>
    </row>
    <row r="2" ht="22.5" customHeight="1">
      <c r="A2" s="2" t="s">
        <v>24</v>
      </c>
      <c r="B2" s="3">
        <v>46050.0</v>
      </c>
      <c r="C2" s="2" t="s">
        <v>11</v>
      </c>
      <c r="D2" s="2" t="s">
        <v>25</v>
      </c>
      <c r="E2" s="2" t="s">
        <v>26</v>
      </c>
      <c r="F2" s="2">
        <v>3.0</v>
      </c>
      <c r="G2" s="3"/>
      <c r="H2" s="3"/>
      <c r="I2" s="4"/>
      <c r="J2" s="4"/>
      <c r="K2" s="2"/>
    </row>
    <row r="3" ht="22.5" customHeight="1">
      <c r="A3" s="2"/>
      <c r="B3" s="3"/>
      <c r="C3" s="2" t="s">
        <v>11</v>
      </c>
      <c r="D3" s="2" t="s">
        <v>25</v>
      </c>
      <c r="E3" s="2" t="s">
        <v>35</v>
      </c>
      <c r="F3" s="2">
        <v>3.0</v>
      </c>
      <c r="G3" s="2"/>
      <c r="H3" s="3"/>
      <c r="I3" s="4"/>
      <c r="J3" s="4"/>
      <c r="K3" s="2"/>
    </row>
    <row r="4" ht="22.5" customHeight="1">
      <c r="A4" s="2"/>
      <c r="B4" s="3"/>
      <c r="C4" s="2" t="s">
        <v>11</v>
      </c>
      <c r="D4" s="2" t="s">
        <v>25</v>
      </c>
      <c r="E4" s="2" t="s">
        <v>36</v>
      </c>
      <c r="F4" s="2">
        <v>3.0</v>
      </c>
      <c r="G4" s="3"/>
      <c r="H4" s="3"/>
      <c r="I4" s="4"/>
      <c r="J4" s="4"/>
      <c r="K4" s="2"/>
    </row>
    <row r="5" ht="22.5" customHeight="1">
      <c r="A5" s="2"/>
      <c r="B5" s="3"/>
      <c r="C5" s="2" t="s">
        <v>11</v>
      </c>
      <c r="D5" s="2" t="s">
        <v>25</v>
      </c>
      <c r="E5" s="2" t="s">
        <v>34</v>
      </c>
      <c r="F5" s="2">
        <v>1.0</v>
      </c>
      <c r="G5" s="3"/>
      <c r="H5" s="3"/>
      <c r="I5" s="4"/>
      <c r="J5" s="4"/>
      <c r="K5" s="2"/>
    </row>
    <row r="6" ht="22.5" customHeight="1">
      <c r="A6" s="2"/>
      <c r="B6" s="3"/>
      <c r="C6" s="2"/>
      <c r="D6" s="2"/>
      <c r="E6" s="2"/>
      <c r="F6" s="2"/>
      <c r="G6" s="3"/>
      <c r="H6" s="3"/>
      <c r="I6" s="4"/>
      <c r="J6" s="4"/>
      <c r="K6" s="2"/>
    </row>
    <row r="7" ht="22.5" customHeight="1">
      <c r="A7" s="2"/>
      <c r="B7" s="3"/>
      <c r="C7" s="2"/>
      <c r="D7" s="2"/>
      <c r="E7" s="2"/>
      <c r="F7" s="2"/>
      <c r="G7" s="3"/>
      <c r="H7" s="3"/>
      <c r="I7" s="4"/>
      <c r="J7" s="4"/>
      <c r="K7" s="2"/>
    </row>
    <row r="8" ht="22.5" customHeight="1">
      <c r="A8" s="2"/>
      <c r="B8" s="3"/>
      <c r="C8" s="2"/>
      <c r="D8" s="2"/>
      <c r="E8" s="2"/>
      <c r="F8" s="2"/>
      <c r="G8" s="3"/>
      <c r="H8" s="3"/>
      <c r="I8" s="4"/>
      <c r="J8" s="4"/>
      <c r="K8" s="2"/>
    </row>
    <row r="9" ht="22.5" customHeight="1">
      <c r="A9" s="2"/>
      <c r="B9" s="3"/>
      <c r="C9" s="2"/>
      <c r="D9" s="2"/>
      <c r="E9" s="2"/>
      <c r="F9" s="2"/>
      <c r="G9" s="3"/>
      <c r="H9" s="3"/>
      <c r="I9" s="4"/>
      <c r="J9" s="4"/>
      <c r="K9" s="2"/>
    </row>
    <row r="10" ht="22.5" customHeight="1">
      <c r="A10" s="2"/>
      <c r="B10" s="3"/>
      <c r="C10" s="2"/>
      <c r="D10" s="2"/>
      <c r="E10" s="2"/>
      <c r="F10" s="2"/>
      <c r="G10" s="3"/>
      <c r="H10" s="3"/>
      <c r="I10" s="4"/>
      <c r="J10" s="4"/>
      <c r="K10" s="2"/>
    </row>
    <row r="11" ht="22.5" customHeight="1">
      <c r="A11" s="2"/>
      <c r="B11" s="3"/>
      <c r="C11" s="2"/>
      <c r="D11" s="2"/>
      <c r="E11" s="2"/>
      <c r="F11" s="2"/>
      <c r="G11" s="3"/>
      <c r="H11" s="3"/>
      <c r="I11" s="4"/>
      <c r="J11" s="4"/>
      <c r="K11" s="2"/>
    </row>
    <row r="12" ht="22.5" customHeight="1">
      <c r="A12" s="2"/>
      <c r="B12" s="3"/>
      <c r="C12" s="2"/>
      <c r="D12" s="2"/>
      <c r="E12" s="2"/>
      <c r="F12" s="2"/>
      <c r="G12" s="3"/>
      <c r="H12" s="3"/>
      <c r="I12" s="4"/>
      <c r="J12" s="4"/>
      <c r="K12" s="2"/>
    </row>
    <row r="13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">
    <cfRule type="notContainsBlanks" dxfId="5" priority="1">
      <formula>LEN(TRIM(G2))&gt;0</formula>
    </cfRule>
  </conditionalFormatting>
  <conditionalFormatting sqref="B2">
    <cfRule type="timePeriod" dxfId="5" priority="2" timePeriod="today"/>
  </conditionalFormatting>
  <dataValidations>
    <dataValidation type="list" allowBlank="1" sqref="C2:C12">
      <formula1>"CD4,HIV VL,HPV"</formula1>
    </dataValidation>
    <dataValidation type="list" allowBlank="1" sqref="E2:E12">
      <formula1>"Absolute Trucount Tube,Tritest CD45/CD4/CD3,FACSFlow,FACSClean,FACSCalibur,HIV-1 VL 192T,NHP NEG,Cobas HBV/HCV/HIV-1 control kit,HPV,Cobas HPV Positive control Kit,Cobas buffer negative control kit,Cobas Omni secondary tube,Cobas wash reagent,Cobas 6800/8"&amp;"800 lysis reagent,Cobas 6800/8800  diluent,MGP,Cobas omni processing plate,Cobas omni Amplification plate,HP black laserjet toner cartridge,Solid waste bag,Cobas omni pipette Tip,Tip 1000 ul"</formula1>
    </dataValidation>
    <dataValidation type="custom" allowBlank="1" showDropDown="1" sqref="B2:B12 G2:H12">
      <formula1>OR(NOT(ISERROR(DATEVALUE(B2))), AND(ISNUMBER(B2), LEFT(CELL("format", B2))="D"))</formula1>
    </dataValidation>
    <dataValidation type="custom" allowBlank="1" showDropDown="1" sqref="F2:F12">
      <formula1>AND(ISNUMBER(F2),(NOT(OR(NOT(ISERROR(DATEVALUE(F2))), AND(ISNUMBER(F2), LEFT(CELL("format", F2))="D")))))</formula1>
    </dataValidation>
    <dataValidation type="list" allowBlank="1" sqref="A2:A12">
      <formula1>"P0,P1,P2,P3"</formula1>
    </dataValidation>
    <dataValidation type="list" allowBlank="1" sqref="D2:D12">
      <formula1>"สั่งซื้อแล้ว,อนุมัติแล้ว,จัดส่งแล้ว,นำส่งแล้ว"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5.75"/>
    <col customWidth="1" min="3" max="3" width="17.63"/>
    <col customWidth="1" min="4" max="4" width="15.13"/>
    <col customWidth="1" min="5" max="5" width="28.88"/>
    <col customWidth="1" min="6" max="8" width="15.13"/>
    <col customWidth="1" min="9" max="9" width="22.63"/>
    <col customWidth="1" min="10" max="11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20</v>
      </c>
      <c r="H1" s="1" t="s">
        <v>21</v>
      </c>
      <c r="I1" s="1" t="s">
        <v>8</v>
      </c>
      <c r="J1" s="1" t="s">
        <v>9</v>
      </c>
      <c r="K1" s="6" t="s">
        <v>22</v>
      </c>
    </row>
    <row r="2" ht="22.5" customHeight="1">
      <c r="A2" s="2" t="s">
        <v>24</v>
      </c>
      <c r="B2" s="3">
        <v>46050.0</v>
      </c>
      <c r="C2" s="2" t="s">
        <v>11</v>
      </c>
      <c r="D2" s="2" t="s">
        <v>25</v>
      </c>
      <c r="E2" s="2" t="s">
        <v>26</v>
      </c>
      <c r="F2" s="2">
        <v>3.0</v>
      </c>
      <c r="G2" s="3"/>
      <c r="H2" s="3"/>
      <c r="I2" s="4"/>
      <c r="J2" s="4"/>
      <c r="K2" s="2"/>
    </row>
    <row r="3" ht="22.5" customHeight="1">
      <c r="A3" s="2"/>
      <c r="B3" s="3"/>
      <c r="C3" s="2" t="s">
        <v>11</v>
      </c>
      <c r="D3" s="2" t="s">
        <v>25</v>
      </c>
      <c r="E3" s="2" t="s">
        <v>35</v>
      </c>
      <c r="F3" s="2">
        <v>3.0</v>
      </c>
      <c r="G3" s="3"/>
      <c r="H3" s="3"/>
      <c r="I3" s="4"/>
      <c r="J3" s="4"/>
      <c r="K3" s="2"/>
    </row>
    <row r="4" ht="22.5" customHeight="1">
      <c r="A4" s="2"/>
      <c r="B4" s="3"/>
      <c r="C4" s="2" t="s">
        <v>11</v>
      </c>
      <c r="D4" s="2" t="s">
        <v>25</v>
      </c>
      <c r="E4" s="2" t="s">
        <v>36</v>
      </c>
      <c r="F4" s="2">
        <v>3.0</v>
      </c>
      <c r="G4" s="3"/>
      <c r="H4" s="3"/>
      <c r="I4" s="4"/>
      <c r="J4" s="4"/>
      <c r="K4" s="2"/>
    </row>
    <row r="5" ht="22.5" customHeight="1">
      <c r="A5" s="2"/>
      <c r="B5" s="3"/>
      <c r="C5" s="2" t="s">
        <v>11</v>
      </c>
      <c r="D5" s="2" t="s">
        <v>25</v>
      </c>
      <c r="E5" s="2" t="s">
        <v>13</v>
      </c>
      <c r="F5" s="2">
        <v>30.0</v>
      </c>
      <c r="G5" s="3"/>
      <c r="H5" s="3"/>
      <c r="I5" s="4"/>
      <c r="J5" s="4"/>
      <c r="K5" s="2"/>
    </row>
    <row r="6" ht="22.5" customHeight="1">
      <c r="A6" s="2"/>
      <c r="B6" s="3"/>
      <c r="C6" s="2" t="s">
        <v>11</v>
      </c>
      <c r="D6" s="2" t="s">
        <v>25</v>
      </c>
      <c r="E6" s="2" t="s">
        <v>28</v>
      </c>
      <c r="F6" s="2">
        <v>3.0</v>
      </c>
      <c r="G6" s="3"/>
      <c r="H6" s="3"/>
      <c r="I6" s="4"/>
      <c r="J6" s="4"/>
      <c r="K6" s="2"/>
    </row>
    <row r="7" ht="22.5" customHeight="1">
      <c r="A7" s="2"/>
      <c r="B7" s="3"/>
      <c r="C7" s="2"/>
      <c r="D7" s="2"/>
      <c r="E7" s="2"/>
      <c r="F7" s="2"/>
      <c r="G7" s="3"/>
      <c r="H7" s="3"/>
      <c r="I7" s="4"/>
      <c r="J7" s="4"/>
      <c r="K7" s="2"/>
    </row>
    <row r="8" ht="22.5" customHeight="1">
      <c r="A8" s="2"/>
      <c r="B8" s="3"/>
      <c r="C8" s="2"/>
      <c r="D8" s="2"/>
      <c r="E8" s="2"/>
      <c r="F8" s="2"/>
      <c r="G8" s="3"/>
      <c r="H8" s="3"/>
      <c r="I8" s="4"/>
      <c r="J8" s="4"/>
      <c r="K8" s="2"/>
    </row>
    <row r="9" ht="22.5" customHeight="1">
      <c r="A9" s="2"/>
      <c r="B9" s="3"/>
      <c r="C9" s="2"/>
      <c r="D9" s="2"/>
      <c r="E9" s="2"/>
      <c r="F9" s="2"/>
      <c r="G9" s="3"/>
      <c r="H9" s="3"/>
      <c r="I9" s="4"/>
      <c r="J9" s="4"/>
      <c r="K9" s="2"/>
    </row>
    <row r="10" ht="22.5" customHeight="1">
      <c r="A10" s="2"/>
      <c r="B10" s="3"/>
      <c r="C10" s="2"/>
      <c r="D10" s="2"/>
      <c r="E10" s="2"/>
      <c r="F10" s="2"/>
      <c r="G10" s="3"/>
      <c r="H10" s="3"/>
      <c r="I10" s="4"/>
      <c r="J10" s="4"/>
      <c r="K10" s="2"/>
    </row>
    <row r="11" ht="22.5" customHeight="1">
      <c r="A11" s="2"/>
      <c r="B11" s="3"/>
      <c r="C11" s="2"/>
      <c r="D11" s="2"/>
      <c r="E11" s="2"/>
      <c r="F11" s="2"/>
      <c r="G11" s="3"/>
      <c r="H11" s="3"/>
      <c r="I11" s="4"/>
      <c r="J11" s="4"/>
      <c r="K11" s="2"/>
    </row>
    <row r="12" ht="22.5" customHeight="1">
      <c r="A12" s="2"/>
      <c r="B12" s="3"/>
      <c r="C12" s="2"/>
      <c r="D12" s="2"/>
      <c r="E12" s="2"/>
      <c r="F12" s="2"/>
      <c r="G12" s="3"/>
      <c r="H12" s="3"/>
      <c r="I12" s="4"/>
      <c r="J12" s="4"/>
      <c r="K12" s="2"/>
    </row>
    <row r="13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">
    <cfRule type="notContainsBlanks" dxfId="5" priority="1">
      <formula>LEN(TRIM(G2))&gt;0</formula>
    </cfRule>
  </conditionalFormatting>
  <conditionalFormatting sqref="B2">
    <cfRule type="timePeriod" dxfId="5" priority="2" timePeriod="today"/>
  </conditionalFormatting>
  <dataValidations>
    <dataValidation type="list" allowBlank="1" sqref="C2:C12">
      <formula1>"CD4,HIV VL,HPV"</formula1>
    </dataValidation>
    <dataValidation type="list" allowBlank="1" sqref="E2:E12">
      <formula1>"Absolute Trucount Tube,Tritest CD45/CD4/CD3,FACSFlow,FACSClean,FACSCalibur,HIV-1 VL 192T,NHP NEG,Cobas HBV/HCV/HIV-1 control kit,HPV,Cobas HPV Positive control Kit,Cobas buffer negative control kit,Cobas Omni secondary tube,Cobas wash reagent,Cobas 6800/8"&amp;"800 lysis reagent,Cobas 6800/8800  diluent,MGP,Cobas omni processing plate,Cobas omni Amplification plate,HP black laserjet toner cartridge,Solid waste bag,Cobas omni pipette Tip,Tip 1000 ul"</formula1>
    </dataValidation>
    <dataValidation type="custom" allowBlank="1" showDropDown="1" sqref="B2:B12 G2:H12">
      <formula1>OR(NOT(ISERROR(DATEVALUE(B2))), AND(ISNUMBER(B2), LEFT(CELL("format", B2))="D"))</formula1>
    </dataValidation>
    <dataValidation type="custom" allowBlank="1" showDropDown="1" sqref="F2:F12">
      <formula1>AND(ISNUMBER(F2),(NOT(OR(NOT(ISERROR(DATEVALUE(F2))), AND(ISNUMBER(F2), LEFT(CELL("format", F2))="D")))))</formula1>
    </dataValidation>
    <dataValidation type="list" allowBlank="1" sqref="A2:A12">
      <formula1>"P0,P1,P2,P3"</formula1>
    </dataValidation>
    <dataValidation type="list" allowBlank="1" sqref="D2:D12">
      <formula1>"สั่งซื้อแล้ว,อนุมัติแล้ว,จัดส่งแล้ว,นำส่งแล้ว"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13"/>
    <col customWidth="1" min="2" max="2" width="15.75"/>
    <col customWidth="1" min="3" max="3" width="17.63"/>
    <col customWidth="1" min="4" max="4" width="15.13"/>
    <col customWidth="1" min="5" max="5" width="28.88"/>
    <col customWidth="1" min="6" max="8" width="15.13"/>
    <col customWidth="1" min="9" max="9" width="22.63"/>
    <col customWidth="1" min="10" max="11" width="15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20</v>
      </c>
      <c r="H1" s="1" t="s">
        <v>21</v>
      </c>
      <c r="I1" s="1" t="s">
        <v>8</v>
      </c>
      <c r="J1" s="1" t="s">
        <v>9</v>
      </c>
      <c r="K1" s="6" t="s">
        <v>22</v>
      </c>
    </row>
    <row r="2" ht="22.5" customHeight="1">
      <c r="A2" s="2" t="s">
        <v>24</v>
      </c>
      <c r="B2" s="3">
        <v>46050.0</v>
      </c>
      <c r="C2" s="2" t="s">
        <v>11</v>
      </c>
      <c r="D2" s="2" t="s">
        <v>25</v>
      </c>
      <c r="E2" s="2" t="s">
        <v>26</v>
      </c>
      <c r="F2" s="2">
        <v>2.0</v>
      </c>
      <c r="G2" s="3"/>
      <c r="H2" s="3"/>
      <c r="I2" s="4"/>
      <c r="J2" s="4"/>
      <c r="K2" s="2"/>
    </row>
    <row r="3" ht="22.5" customHeight="1">
      <c r="A3" s="2"/>
      <c r="B3" s="3"/>
      <c r="C3" s="2" t="s">
        <v>11</v>
      </c>
      <c r="D3" s="2" t="s">
        <v>25</v>
      </c>
      <c r="E3" s="2" t="s">
        <v>35</v>
      </c>
      <c r="F3" s="2">
        <v>2.0</v>
      </c>
      <c r="G3" s="3"/>
      <c r="H3" s="3"/>
      <c r="I3" s="4"/>
      <c r="J3" s="4"/>
      <c r="K3" s="2"/>
    </row>
    <row r="4" ht="22.5" customHeight="1">
      <c r="A4" s="2"/>
      <c r="B4" s="3"/>
      <c r="C4" s="2" t="s">
        <v>11</v>
      </c>
      <c r="D4" s="2" t="s">
        <v>25</v>
      </c>
      <c r="E4" s="2" t="s">
        <v>36</v>
      </c>
      <c r="F4" s="2">
        <v>2.0</v>
      </c>
      <c r="G4" s="3"/>
      <c r="H4" s="3"/>
      <c r="I4" s="4"/>
      <c r="J4" s="4"/>
      <c r="K4" s="2"/>
    </row>
    <row r="5" ht="22.5" customHeight="1">
      <c r="A5" s="2"/>
      <c r="B5" s="3"/>
      <c r="C5" s="2" t="s">
        <v>11</v>
      </c>
      <c r="D5" s="2" t="s">
        <v>25</v>
      </c>
      <c r="E5" s="2" t="s">
        <v>13</v>
      </c>
      <c r="F5" s="2">
        <v>3.0</v>
      </c>
      <c r="G5" s="3"/>
      <c r="H5" s="3"/>
      <c r="I5" s="4"/>
      <c r="J5" s="4"/>
      <c r="K5" s="2"/>
    </row>
    <row r="6" ht="22.5" customHeight="1">
      <c r="A6" s="2"/>
      <c r="B6" s="3"/>
      <c r="C6" s="2" t="s">
        <v>11</v>
      </c>
      <c r="D6" s="2" t="s">
        <v>25</v>
      </c>
      <c r="E6" s="2" t="s">
        <v>28</v>
      </c>
      <c r="F6" s="2">
        <v>2.0</v>
      </c>
      <c r="G6" s="3"/>
      <c r="H6" s="3"/>
      <c r="I6" s="4"/>
      <c r="J6" s="4"/>
      <c r="K6" s="2"/>
    </row>
    <row r="7" ht="22.5" customHeight="1">
      <c r="A7" s="2"/>
      <c r="B7" s="3"/>
      <c r="C7" s="2" t="s">
        <v>11</v>
      </c>
      <c r="D7" s="2" t="s">
        <v>25</v>
      </c>
      <c r="E7" s="2" t="s">
        <v>39</v>
      </c>
      <c r="F7" s="2">
        <v>1.0</v>
      </c>
      <c r="G7" s="3"/>
      <c r="H7" s="3"/>
      <c r="I7" s="4"/>
      <c r="J7" s="4"/>
      <c r="K7" s="2"/>
    </row>
    <row r="8" ht="22.5" customHeight="1">
      <c r="A8" s="2"/>
      <c r="B8" s="3"/>
      <c r="C8" s="2" t="s">
        <v>11</v>
      </c>
      <c r="D8" s="2" t="s">
        <v>25</v>
      </c>
      <c r="E8" s="2" t="s">
        <v>37</v>
      </c>
      <c r="F8" s="2">
        <v>1.0</v>
      </c>
      <c r="G8" s="3"/>
      <c r="H8" s="3"/>
      <c r="I8" s="4"/>
      <c r="J8" s="4"/>
      <c r="K8" s="2"/>
    </row>
    <row r="9" ht="22.5" customHeight="1">
      <c r="A9" s="2"/>
      <c r="B9" s="3"/>
      <c r="C9" s="2"/>
      <c r="D9" s="2"/>
      <c r="E9" s="2"/>
      <c r="F9" s="2"/>
      <c r="G9" s="3"/>
      <c r="H9" s="3"/>
      <c r="I9" s="4"/>
      <c r="J9" s="4"/>
      <c r="K9" s="2"/>
    </row>
    <row r="10" ht="22.5" customHeight="1">
      <c r="A10" s="2"/>
      <c r="B10" s="3"/>
      <c r="C10" s="2"/>
      <c r="D10" s="2"/>
      <c r="E10" s="2"/>
      <c r="F10" s="2"/>
      <c r="G10" s="3"/>
      <c r="H10" s="3"/>
      <c r="I10" s="4"/>
      <c r="J10" s="4"/>
      <c r="K10" s="2"/>
    </row>
    <row r="11" ht="22.5" customHeight="1">
      <c r="A11" s="2"/>
      <c r="B11" s="3"/>
      <c r="C11" s="2"/>
      <c r="D11" s="2"/>
      <c r="E11" s="2"/>
      <c r="F11" s="2"/>
      <c r="G11" s="3"/>
      <c r="H11" s="3"/>
      <c r="I11" s="4"/>
      <c r="J11" s="4"/>
      <c r="K11" s="2"/>
    </row>
    <row r="12" ht="22.5" customHeight="1">
      <c r="A12" s="2"/>
      <c r="B12" s="3"/>
      <c r="C12" s="2"/>
      <c r="D12" s="2"/>
      <c r="E12" s="2"/>
      <c r="F12" s="2"/>
      <c r="G12" s="3"/>
      <c r="H12" s="3"/>
      <c r="I12" s="4"/>
      <c r="J12" s="4"/>
      <c r="K12" s="2"/>
    </row>
    <row r="13" ht="22.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G2">
    <cfRule type="notContainsBlanks" dxfId="5" priority="1">
      <formula>LEN(TRIM(G2))&gt;0</formula>
    </cfRule>
  </conditionalFormatting>
  <conditionalFormatting sqref="B2">
    <cfRule type="timePeriod" dxfId="5" priority="2" timePeriod="today"/>
  </conditionalFormatting>
  <dataValidations>
    <dataValidation type="list" allowBlank="1" sqref="C2:C12">
      <formula1>"CD4,HIV VL,HPV"</formula1>
    </dataValidation>
    <dataValidation type="list" allowBlank="1" sqref="E2:E12">
      <formula1>"Absolute Trucount Tube,Tritest CD45/CD4/CD3,FACSFlow,FACSClean,FACSCalibur,HIV-1 VL 192T,NHP NEG,Cobas HBV/HCV/HIV-1 control kit,HPV,Cobas HPV Positive control Kit,Cobas buffer negative control kit,Cobas Omni secondary tube,Cobas wash reagent,Cobas 6800/8"&amp;"800 lysis reagent,Cobas 6800/8800  diluent,MGP,Cobas omni processing plate,Cobas omni Amplification plate,HP black laserjet toner cartridge,Solid waste bag,Cobas omni pipette Tip,Tip 1000 ul"</formula1>
    </dataValidation>
    <dataValidation type="custom" allowBlank="1" showDropDown="1" sqref="B2:B12 G2:H12">
      <formula1>OR(NOT(ISERROR(DATEVALUE(B2))), AND(ISNUMBER(B2), LEFT(CELL("format", B2))="D"))</formula1>
    </dataValidation>
    <dataValidation type="custom" allowBlank="1" showDropDown="1" sqref="F2:F12">
      <formula1>AND(ISNUMBER(F2),(NOT(OR(NOT(ISERROR(DATEVALUE(F2))), AND(ISNUMBER(F2), LEFT(CELL("format", F2))="D")))))</formula1>
    </dataValidation>
    <dataValidation type="list" allowBlank="1" sqref="A2:A12">
      <formula1>"P0,P1,P2,P3"</formula1>
    </dataValidation>
    <dataValidation type="list" allowBlank="1" sqref="D2:D12">
      <formula1>"สั่งซื้อแล้ว,อนุมัติแล้ว,จัดส่งแล้ว,นำส่งแล้ว"</formula1>
    </dataValidation>
  </dataValidations>
  <drawing r:id="rId1"/>
  <tableParts count="1">
    <tablePart r:id="rId3"/>
  </tableParts>
</worksheet>
</file>