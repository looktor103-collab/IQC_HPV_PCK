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kt\Desktop\gem IQC HPV\"/>
    </mc:Choice>
  </mc:AlternateContent>
  <xr:revisionPtr revIDLastSave="0" documentId="13_ncr:1_{8257E8EE-FB3A-46FD-96A4-43FF63A8BAC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📊 สรุปภาพรวม EQA" sheetId="1" r:id="rId1"/>
    <sheet name="📋 ครั้งที่ 1-2569" sheetId="2" r:id="rId2"/>
    <sheet name="📋 ผลทุกห้อง ครั้ง 1-2569" sheetId="3" r:id="rId3"/>
    <sheet name="📖 เกณฑ์การแปลผ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B27" i="2"/>
</calcChain>
</file>

<file path=xl/sharedStrings.xml><?xml version="1.0" encoding="utf-8"?>
<sst xmlns="http://schemas.openxmlformats.org/spreadsheetml/2006/main" count="198" uniqueCount="169">
  <si>
    <t>สรุปผล External Quality Assessment (EQA) — HIV-1 Viral Load</t>
  </si>
  <si>
    <t>ห้องปฏิบัติการ : โรงพยาบาลพระจอมเกล้า เพชรบุรี  |  รหัสสมาชิก : 00031  |  ชุดตรวจ : Cobas HIV-1  |  รหัสแล็บ : 016</t>
  </si>
  <si>
    <t>ผู้ดำเนินแผน : สถาบันวิจัยวิทยาศาสตร์สาธารณสุข กรมวิทยาศาสตร์การแพทย์  |  มาตรฐาน : ISO/IEC 17043:2023 &amp; ISO 13528:2022</t>
  </si>
  <si>
    <t>ปี (พ.ศ.)</t>
  </si>
  <si>
    <t>ครั้งที่</t>
  </si>
  <si>
    <t>รอบ</t>
  </si>
  <si>
    <t>วันที่ออกรายงาน</t>
  </si>
  <si>
    <t>เลขที่รายงาน (Lab)</t>
  </si>
  <si>
    <t>HIVL-1
z-score</t>
  </si>
  <si>
    <t>HIVL-2
z-score</t>
  </si>
  <si>
    <t>HIVL-3
z-score</t>
  </si>
  <si>
    <t>HIVL-4
z-score</t>
  </si>
  <si>
    <t>Between-lab
z-score</t>
  </si>
  <si>
    <t>Within-lab
z-score</t>
  </si>
  <si>
    <t>คะแนน
(/20)</t>
  </si>
  <si>
    <t>สรุปผลการประเมิน</t>
  </si>
  <si>
    <t>1/2569</t>
  </si>
  <si>
    <t>20 มีนาคม 2569</t>
  </si>
  <si>
    <t>69-047</t>
  </si>
  <si>
    <t>✅ ผลการทดสอบอยู่ในระดับดี</t>
  </si>
  <si>
    <t>2/2569</t>
  </si>
  <si>
    <t>— (รอผล)</t>
  </si>
  <si>
    <t>—</t>
  </si>
  <si>
    <t>⏳ รอผลการประเมิน</t>
  </si>
  <si>
    <t>เกณฑ์ Z-score :</t>
  </si>
  <si>
    <t>✅  |z| ≤ 2.00  ยอมรับ</t>
  </si>
  <si>
    <t>⚠️  2.00 &lt; |z| &lt; 3.00  เฝ้าระวัง</t>
  </si>
  <si>
    <t>❌  |z| ≥ 3.00  ออกนอกเกณฑ์</t>
  </si>
  <si>
    <t>รายละเอียดผลการประเมิน EQA HIV-1 Viral Load — ครั้งที่ 1/2569</t>
  </si>
  <si>
    <t>ห้องปฏิบัติการ :</t>
  </si>
  <si>
    <t>โรงพยาบาลพระจอมเกล้า เพชรบุรี</t>
  </si>
  <si>
    <t>วันที่ออกรายงาน :</t>
  </si>
  <si>
    <t>รหัสสมาชิก :</t>
  </si>
  <si>
    <t>00031</t>
  </si>
  <si>
    <t>เลขที่รายงาน :</t>
  </si>
  <si>
    <t>69-047 (รายงานเฉพาะห้อง)</t>
  </si>
  <si>
    <t>ชุดตรวจ :</t>
  </si>
  <si>
    <t>Cobas HIV-1</t>
  </si>
  <si>
    <t>จำนวนสมาชิก Cobas :</t>
  </si>
  <si>
    <t>21 ห้องปฏิบัติการ</t>
  </si>
  <si>
    <t>รอบ :</t>
  </si>
  <si>
    <t>ครั้งที่ 1/2569</t>
  </si>
  <si>
    <t>ผู้ดำเนินแผน :</t>
  </si>
  <si>
    <t>สวส. กรมวิทยาศาสตร์การแพทย์</t>
  </si>
  <si>
    <t>รหัสตัวอย่าง</t>
  </si>
  <si>
    <t>ค่ากำหนด
(Log copies/ml)</t>
  </si>
  <si>
    <t>σpt</t>
  </si>
  <si>
    <t>ผลทดสอบ
(copies/ml)</t>
  </si>
  <si>
    <t>ผลทดสอบ
(Log copies/ml)</t>
  </si>
  <si>
    <t>z-score</t>
  </si>
  <si>
    <t>ผลประเมิน
ความแม่น</t>
  </si>
  <si>
    <t>คะแนน
(/3)</t>
  </si>
  <si>
    <t>HIVL 691-1</t>
  </si>
  <si>
    <t>✅ ยอมรับ</t>
  </si>
  <si>
    <t>HIVL 691-2</t>
  </si>
  <si>
    <t>HIVL 691-3</t>
  </si>
  <si>
    <t>HIVL 691-4</t>
  </si>
  <si>
    <t>📐 การประเมินความเที่ยง (Precision) — ตัวอย่างซ้ำ HIVL 691-2 vs HIVL 691-3</t>
  </si>
  <si>
    <t>ตัวอย่าง 1 (HIVL 691-2)
Log copies/ml</t>
  </si>
  <si>
    <t>ตัวอย่าง 2 (HIVL 691-3)
Log copies/ml</t>
  </si>
  <si>
    <t>Between-lab z-score</t>
  </si>
  <si>
    <t>Within-lab z-score</t>
  </si>
  <si>
    <t>ผลประเมิน Between</t>
  </si>
  <si>
    <t>ผลประเมิน Within</t>
  </si>
  <si>
    <t>คะแนน Between
(/3)</t>
  </si>
  <si>
    <t>คะแนน Within
(/3)</t>
  </si>
  <si>
    <t>🏆 ผลการประเมินความสามารถ (Overall Assessment)</t>
  </si>
  <si>
    <t>20 / 20 คะแนน — ผลการทดสอบอยู่ในระดับดี ✅</t>
  </si>
  <si>
    <t>หัวข้อการประเมิน</t>
  </si>
  <si>
    <t>คะแนนเต็ม</t>
  </si>
  <si>
    <t>คะแนนที่ได้</t>
  </si>
  <si>
    <t>คะแนนการรายงานผล</t>
  </si>
  <si>
    <t>ความแม่น HIVL 691-1</t>
  </si>
  <si>
    <t>ความแม่น HIVL 691-2</t>
  </si>
  <si>
    <t>ความแม่น HIVL 691-3</t>
  </si>
  <si>
    <t>ความแม่น HIVL 691-4</t>
  </si>
  <si>
    <t>ความเที่ยง Between-lab</t>
  </si>
  <si>
    <t>ความเที่ยง Within-lab</t>
  </si>
  <si>
    <t>คะแนนรวม</t>
  </si>
  <si>
    <t>ผลการทดสอบและ Z-score ของสมาชิก Cobas HIV-1 — ครั้งที่ 1/2569 (n = 21)</t>
  </si>
  <si>
    <t>ค่ากำหนด: HIVL691-1 = 2.88 | HIVL691-2 = 4.96 | HIVL691-3 = 4.94 | HIVL691-4 = 5.54  (σpt = 0.17 ทุกตัวอย่าง)</t>
  </si>
  <si>
    <t>Lab Code</t>
  </si>
  <si>
    <t>HIVL691-1
(copies/ml)</t>
  </si>
  <si>
    <t>HIVL691-1
(Log)</t>
  </si>
  <si>
    <t>HIVL691-1
z-score</t>
  </si>
  <si>
    <t>HIVL691-2
(copies/ml)</t>
  </si>
  <si>
    <t>HIVL691-2
(Log)</t>
  </si>
  <si>
    <t>HIVL691-2
z-score</t>
  </si>
  <si>
    <t>HIVL691-3
(copies/ml)</t>
  </si>
  <si>
    <t>HIVL691-3
(Log)</t>
  </si>
  <si>
    <t>HIVL691-3
z-score</t>
  </si>
  <si>
    <t>HIVL691-4
(copies/ml)</t>
  </si>
  <si>
    <t>HIVL691-4
(Log)</t>
  </si>
  <si>
    <t>HIVL691-4
z-score</t>
  </si>
  <si>
    <t>00002</t>
  </si>
  <si>
    <t>00007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</si>
  <si>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</si>
  <si>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</si>
  <si>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</si>
  <si>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</si>
  <si>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</si>
  <si>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</si>
  <si>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</si>
  <si>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</si>
  <si>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</si>
  <si>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</si>
  <si>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</si>
  <si>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</si>
  <si>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</si>
  <si>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</si>
  <si>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</si>
  <si>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</si>
  <si>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</si>
  <si>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00033</t>
  </si>
  <si>
    <t>xpt</t>
  </si>
  <si>
    <t>★ Lab 00031 = โรงพยาบาลพระจอมเกล้า เพชรบุรี  (ไฮไลท์สีเหลือง)   |   Lab 00017 = z-score ออกนอกเกณฑ์ (z = -6.00 สำหรับ HIVL691-1 เนื่องจากบันทึกผลผิดพลาด)</t>
  </si>
  <si>
    <t>เกณฑ์การแปลผล EQA HIV-1 Viral Load — ISO 13528:2022</t>
  </si>
  <si>
    <t>1. เกณฑ์ประเมินความแม่น (Accuracy)</t>
  </si>
  <si>
    <t>เกณฑ์ Z-score</t>
  </si>
  <si>
    <t>ความหมาย</t>
  </si>
  <si>
    <t>สี</t>
  </si>
  <si>
    <t>คะแนน</t>
  </si>
  <si>
    <t>|z| ≤ 2.00</t>
  </si>
  <si>
    <t>ผลการทดสอบอยู่ในเกณฑ์ยอมรับ</t>
  </si>
  <si>
    <t>🟢 เขียว</t>
  </si>
  <si>
    <t>3 คะแนน/ตัวอย่าง</t>
  </si>
  <si>
    <t>2.00 &lt; |z| &lt; 3.00</t>
  </si>
  <si>
    <t>ผลประเมินอยู่ในเกณฑ์ที่ต้องระวัง (Warning)</t>
  </si>
  <si>
    <t>🟡 เหลือง</t>
  </si>
  <si>
    <t>2 คะแนน/ตัวอย่าง</t>
  </si>
  <si>
    <t>|z| ≥ 3.00</t>
  </si>
  <si>
    <t>ผลการทดสอบออกนอกช่วงยอมรับ (Action)</t>
  </si>
  <si>
    <t>🔴 แดง</t>
  </si>
  <si>
    <t>1 คะแนน/ตัวอย่าง</t>
  </si>
  <si>
    <t>ผลบวก/ลบปลอม</t>
  </si>
  <si>
    <t>รายงานผลไม่ถูกต้อง</t>
  </si>
  <si>
    <t>0 คะแนน/ตัวอย่าง</t>
  </si>
  <si>
    <t>2. เกณฑ์ประเมินความเที่ยง (Precision — ตัวอย่างซ้ำ)</t>
  </si>
  <si>
    <t>ประเภท z-score</t>
  </si>
  <si>
    <t>Between-lab</t>
  </si>
  <si>
    <t>ยอมรับ</t>
  </si>
  <si>
    <t>3 คะแนน</t>
  </si>
  <si>
    <t>เฝ้าระวัง</t>
  </si>
  <si>
    <t>2 คะแนน</t>
  </si>
  <si>
    <t>ออกนอกเกณฑ์</t>
  </si>
  <si>
    <t>1 คะแนน</t>
  </si>
  <si>
    <t>Within-lab</t>
  </si>
  <si>
    <t>3. สรุปผลการประเมินความสามารถ (Overall — คะแนนเต็ม 20 คะแนน)</t>
  </si>
  <si>
    <t>สรุปผล</t>
  </si>
  <si>
    <t>หมายเหตุ</t>
  </si>
  <si>
    <t>20 คะแนน</t>
  </si>
  <si>
    <t>ผลการทดสอบอยู่ในระดับดี ✅</t>
  </si>
  <si>
    <t>การรายงานผลตรงเวลา 2 คะแนน + ความแม่น 4×3 = 12 คะแนน + ความเที่ยง 2×3 = 6 คะแนน</t>
  </si>
  <si>
    <t>19 คะแนน</t>
  </si>
  <si>
    <t>ผลการทดสอบอยู่ในระดับเฝ้าระวัง ⚠️</t>
  </si>
  <si>
    <t>มีผลความแม่นหรือความเที่ยงบางตัวอยู่ในเกณฑ์เฝ้าระวัง</t>
  </si>
  <si>
    <t>&lt;19 คะแนน</t>
  </si>
  <si>
    <t>ผลการทดสอบอยู่ในระดับออกนอกช่วงยอมรับ ❌</t>
  </si>
  <si>
    <t>มีผลออกนอกเกณฑ์ยอมรับ ควรวิเคราะห์หาสาเหตุ</t>
  </si>
  <si>
    <t>4. สูตรคำนวณ Z-score</t>
  </si>
  <si>
    <t>Accuracy z-score =</t>
  </si>
  <si>
    <t>(xi − x*) / σpt</t>
  </si>
  <si>
    <t>xi = ผลของห้องปฏิบัติการ  |  x* = Robust mean  |  σpt = 0.17 (= 0.5 log copies/ml ÷ 3)</t>
  </si>
  <si>
    <t>Between-lab z-score =</t>
  </si>
  <si>
    <t>(SSi − MedianSS) / nIQRSS</t>
  </si>
  <si>
    <t>SSi = (ผลตัวอย่าง1 + ผลตัวอย่าง2) / √2</t>
  </si>
  <si>
    <t>Within-lab z-score =</t>
  </si>
  <si>
    <t>(SDi − MedianSD) / nIQRSD</t>
  </si>
  <si>
    <t>SDi = (ผลตัวอย่าง1 − ผลตัวอย่าง2) / √2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</si>
</sst>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0"/>
      <color rgb="FFFFFFFF"/>
      <name val="Arial"/>
    </font>
    <font>
      <sz val="9"/>
      <color rgb="FF334155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66534"/>
      <name val="Arial"/>
    </font>
    <font>
      <sz val="10"/>
      <color rgb="FF334155"/>
      <name val="Arial"/>
    </font>
    <font>
      <b/>
      <sz val="9"/>
      <name val="Arial"/>
    </font>
    <font>
      <b/>
      <sz val="9"/>
      <color rgb="FF166534"/>
      <name val="Arial"/>
    </font>
    <font>
      <b/>
      <sz val="9"/>
      <color rgb="FF713F12"/>
      <name val="Arial"/>
    </font>
    <font>
      <b/>
      <sz val="9"/>
      <color rgb="FF7F1D1D"/>
      <name val="Arial"/>
    </font>
    <font>
      <b/>
      <sz val="14"/>
      <color rgb="FFFFFFFF"/>
      <name val="Arial"/>
    </font>
    <font>
      <sz val="10"/>
      <name val="Arial"/>
    </font>
    <font>
      <b/>
      <sz val="10"/>
      <color rgb="FF1E3A5F"/>
      <name val="Arial"/>
    </font>
    <font>
      <b/>
      <sz val="11"/>
      <color rgb="FFFFFFFF"/>
      <name val="Arial"/>
    </font>
    <font>
      <sz val="10"/>
      <color rgb="FF7F1D1D"/>
      <name val="Arial"/>
    </font>
    <font>
      <sz val="10"/>
      <color rgb="FF166534"/>
      <name val="Arial"/>
    </font>
    <font>
      <b/>
      <sz val="10"/>
      <color rgb="FF000000"/>
      <name val="Arial"/>
    </font>
    <font>
      <b/>
      <sz val="12"/>
      <name val="Arial"/>
    </font>
    <font>
      <b/>
      <sz val="12"/>
      <color rgb="FF166534"/>
      <name val="Arial"/>
    </font>
    <font>
      <b/>
      <sz val="13"/>
      <color rgb="FF166534"/>
      <name val="Arial"/>
    </font>
    <font>
      <b/>
      <sz val="13"/>
      <color rgb="FFFFFFFF"/>
      <name val="Arial"/>
    </font>
    <font>
      <sz val="10"/>
      <color rgb="FF1E3A5F"/>
      <name val="Arial"/>
    </font>
    <font>
      <b/>
      <sz val="10"/>
      <color rgb="FF7F1D1D"/>
      <name val="Arial"/>
    </font>
    <font>
      <b/>
      <sz val="10"/>
      <color rgb="FFB45309"/>
      <name val="Arial"/>
    </font>
    <font>
      <b/>
      <sz val="10"/>
      <name val="Arial"/>
    </font>
    <font>
      <b/>
      <sz val="9"/>
      <color rgb="FFFFFFFF"/>
      <name val="Arial"/>
    </font>
    <font>
      <i/>
      <sz val="9"/>
      <color rgb="FF334155"/>
      <name val="Arial"/>
    </font>
    <font>
      <sz val="10"/>
      <color rgb="FF713F12"/>
      <name val="Arial"/>
    </font>
    <font>
      <b/>
      <sz val="10"/>
      <color rgb="FF713F12"/>
      <name val="Arial"/>
    </font>
    <font>
      <b/>
      <sz val="11"/>
      <color rgb="FF2563EB"/>
      <name val="Arial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334155"/>
        <bgColor rgb="FF334155"/>
      </patternFill>
    </fill>
    <fill>
      <patternFill patternType="solid">
        <fgColor rgb="FFFFFBEB"/>
        <bgColor rgb="FFFFFBEB"/>
      </patternFill>
    </fill>
    <fill>
      <patternFill patternType="solid">
        <fgColor rgb="FFDBEAFE"/>
        <bgColor rgb="FFDBEAFE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FFFBEB"/>
      </patternFill>
    </fill>
    <fill>
      <patternFill patternType="solid">
        <fgColor rgb="FFFFFF00"/>
        <b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2" fontId="17" fillId="7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2" fontId="24" fillId="11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2" fontId="27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29" fillId="10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29" fillId="10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right" vertical="center"/>
    </xf>
    <xf numFmtId="0" fontId="31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1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center" vertical="center"/>
    </xf>
    <xf numFmtId="3" fontId="26" fillId="16" borderId="1" xfId="0" applyNumberFormat="1" applyFont="1" applyFill="1" applyBorder="1" applyAlignment="1">
      <alignment horizontal="center" vertical="center"/>
    </xf>
    <xf numFmtId="2" fontId="26" fillId="16" borderId="1" xfId="0" applyNumberFormat="1" applyFont="1" applyFill="1" applyBorder="1" applyAlignment="1">
      <alignment horizontal="center" vertical="center"/>
    </xf>
    <xf numFmtId="2" fontId="17" fillId="17" borderId="1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10" customWidth="1"/>
    <col min="2" max="2" width="8" customWidth="1"/>
    <col min="3" max="3" width="10" customWidth="1"/>
    <col min="4" max="4" width="22" customWidth="1"/>
    <col min="5" max="5" width="18" customWidth="1"/>
    <col min="6" max="9" width="12" customWidth="1"/>
    <col min="10" max="10" width="15" customWidth="1"/>
    <col min="11" max="11" width="14" customWidth="1"/>
    <col min="12" max="12" width="10" customWidth="1"/>
    <col min="13" max="13" width="28" customWidth="1"/>
  </cols>
  <sheetData>
    <row r="1" spans="1:13" ht="30" customHeight="1" x14ac:dyDescent="0.3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9.95" customHeight="1" x14ac:dyDescent="0.3">
      <c r="A2" s="51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16.05" customHeight="1" x14ac:dyDescent="0.3">
      <c r="A3" s="46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6" customHeight="1" x14ac:dyDescent="0.3"/>
    <row r="5" spans="1:13" ht="37.950000000000003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ht="22.05" customHeight="1" x14ac:dyDescent="0.3">
      <c r="A6" s="2">
        <v>2569</v>
      </c>
      <c r="B6" s="2">
        <v>1</v>
      </c>
      <c r="C6" s="2" t="s">
        <v>16</v>
      </c>
      <c r="D6" s="2" t="s">
        <v>17</v>
      </c>
      <c r="E6" s="2" t="s">
        <v>18</v>
      </c>
      <c r="F6" s="3">
        <v>0</v>
      </c>
      <c r="G6" s="3">
        <v>-0.28999999999999998</v>
      </c>
      <c r="H6" s="3">
        <v>-0.94</v>
      </c>
      <c r="I6" s="3">
        <v>-1.06</v>
      </c>
      <c r="J6" s="3">
        <v>-0.88</v>
      </c>
      <c r="K6" s="3">
        <v>1.1100000000000001</v>
      </c>
      <c r="L6" s="3">
        <v>20</v>
      </c>
      <c r="M6" s="4" t="s">
        <v>19</v>
      </c>
    </row>
    <row r="7" spans="1:13" ht="22.05" customHeight="1" x14ac:dyDescent="0.3">
      <c r="A7" s="5">
        <v>2569</v>
      </c>
      <c r="B7" s="5">
        <v>2</v>
      </c>
      <c r="C7" s="5" t="s">
        <v>20</v>
      </c>
      <c r="D7" s="5" t="s">
        <v>21</v>
      </c>
      <c r="E7" s="5" t="s">
        <v>22</v>
      </c>
      <c r="F7" s="6"/>
      <c r="G7" s="6"/>
      <c r="H7" s="6"/>
      <c r="I7" s="6"/>
      <c r="J7" s="6"/>
      <c r="K7" s="6"/>
      <c r="L7" s="6" t="s">
        <v>22</v>
      </c>
      <c r="M7" s="7" t="s">
        <v>23</v>
      </c>
    </row>
    <row r="8" spans="1:13" ht="10.050000000000001" customHeight="1" x14ac:dyDescent="0.3"/>
    <row r="9" spans="1:13" ht="19.95" customHeight="1" x14ac:dyDescent="0.3">
      <c r="A9" s="48" t="s">
        <v>24</v>
      </c>
      <c r="B9" s="45"/>
      <c r="C9" s="47" t="s">
        <v>25</v>
      </c>
      <c r="D9" s="45"/>
      <c r="E9" s="50" t="s">
        <v>26</v>
      </c>
      <c r="F9" s="45"/>
      <c r="G9" s="49" t="s">
        <v>27</v>
      </c>
      <c r="H9" s="45"/>
    </row>
  </sheetData>
  <mergeCells count="7">
    <mergeCell ref="A1:M1"/>
    <mergeCell ref="A3:M3"/>
    <mergeCell ref="C9:D9"/>
    <mergeCell ref="A9:B9"/>
    <mergeCell ref="G9:H9"/>
    <mergeCell ref="E9:F9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opLeftCell="A11" workbookViewId="0">
      <selection sqref="A1:L1"/>
    </sheetView>
  </sheetViews>
  <sheetFormatPr defaultRowHeight="14.4" x14ac:dyDescent="0.3"/>
  <cols>
    <col min="1" max="1" width="26" customWidth="1"/>
    <col min="2" max="2" width="16" customWidth="1"/>
    <col min="3" max="3" width="10" customWidth="1"/>
    <col min="4" max="5" width="16" customWidth="1"/>
    <col min="6" max="6" width="10" customWidth="1"/>
    <col min="7" max="7" width="20" customWidth="1"/>
    <col min="8" max="8" width="12" customWidth="1"/>
  </cols>
  <sheetData>
    <row r="1" spans="1:12" ht="28.05" customHeight="1" x14ac:dyDescent="0.3">
      <c r="A1" s="58" t="s">
        <v>28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3" spans="1:12" ht="18" customHeight="1" x14ac:dyDescent="0.3">
      <c r="A3" s="53" t="s">
        <v>29</v>
      </c>
      <c r="B3" s="45"/>
      <c r="C3" s="45"/>
      <c r="D3" s="52" t="s">
        <v>30</v>
      </c>
      <c r="E3" s="45"/>
      <c r="F3" s="45"/>
      <c r="G3" s="53" t="s">
        <v>31</v>
      </c>
      <c r="H3" s="45"/>
      <c r="I3" s="45"/>
      <c r="J3" s="52" t="s">
        <v>17</v>
      </c>
      <c r="K3" s="45"/>
      <c r="L3" s="45"/>
    </row>
    <row r="4" spans="1:12" ht="18" customHeight="1" x14ac:dyDescent="0.3">
      <c r="A4" s="53" t="s">
        <v>32</v>
      </c>
      <c r="B4" s="45"/>
      <c r="C4" s="45"/>
      <c r="D4" s="52" t="s">
        <v>33</v>
      </c>
      <c r="E4" s="45"/>
      <c r="F4" s="45"/>
      <c r="G4" s="53" t="s">
        <v>34</v>
      </c>
      <c r="H4" s="45"/>
      <c r="I4" s="45"/>
      <c r="J4" s="52" t="s">
        <v>35</v>
      </c>
      <c r="K4" s="45"/>
      <c r="L4" s="45"/>
    </row>
    <row r="5" spans="1:12" ht="18" customHeight="1" x14ac:dyDescent="0.3">
      <c r="A5" s="53" t="s">
        <v>36</v>
      </c>
      <c r="B5" s="45"/>
      <c r="C5" s="45"/>
      <c r="D5" s="52" t="s">
        <v>37</v>
      </c>
      <c r="E5" s="45"/>
      <c r="F5" s="45"/>
      <c r="G5" s="53" t="s">
        <v>38</v>
      </c>
      <c r="H5" s="45"/>
      <c r="I5" s="45"/>
      <c r="J5" s="52" t="s">
        <v>39</v>
      </c>
      <c r="K5" s="45"/>
      <c r="L5" s="45"/>
    </row>
    <row r="6" spans="1:12" ht="18" customHeight="1" x14ac:dyDescent="0.3">
      <c r="A6" s="53" t="s">
        <v>40</v>
      </c>
      <c r="B6" s="45"/>
      <c r="C6" s="45"/>
      <c r="D6" s="52" t="s">
        <v>41</v>
      </c>
      <c r="E6" s="45"/>
      <c r="F6" s="45"/>
      <c r="G6" s="53" t="s">
        <v>42</v>
      </c>
      <c r="H6" s="45"/>
      <c r="I6" s="45"/>
      <c r="J6" s="52" t="s">
        <v>43</v>
      </c>
      <c r="K6" s="45"/>
      <c r="L6" s="45"/>
    </row>
    <row r="7" spans="1:12" ht="10.050000000000001" customHeight="1" x14ac:dyDescent="0.3"/>
    <row r="8" spans="1:12" ht="37.950000000000003" customHeight="1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</row>
    <row r="9" spans="1:12" ht="19.95" customHeight="1" x14ac:dyDescent="0.3">
      <c r="A9" s="8" t="s">
        <v>52</v>
      </c>
      <c r="B9" s="9">
        <v>2.88</v>
      </c>
      <c r="C9" s="10">
        <v>0.17</v>
      </c>
      <c r="D9" s="11">
        <v>755</v>
      </c>
      <c r="E9" s="9">
        <v>2.88</v>
      </c>
      <c r="F9" s="12">
        <v>0</v>
      </c>
      <c r="G9" s="3" t="s">
        <v>53</v>
      </c>
      <c r="H9" s="3">
        <v>3</v>
      </c>
    </row>
    <row r="10" spans="1:12" ht="19.95" customHeight="1" x14ac:dyDescent="0.3">
      <c r="A10" s="8" t="s">
        <v>54</v>
      </c>
      <c r="B10" s="9">
        <v>4.96</v>
      </c>
      <c r="C10" s="10">
        <v>0.17</v>
      </c>
      <c r="D10" s="11">
        <v>81100</v>
      </c>
      <c r="E10" s="9">
        <v>4.91</v>
      </c>
      <c r="F10" s="12">
        <v>-0.28999999999999998</v>
      </c>
      <c r="G10" s="3" t="s">
        <v>53</v>
      </c>
      <c r="H10" s="3">
        <v>3</v>
      </c>
    </row>
    <row r="11" spans="1:12" ht="19.95" customHeight="1" x14ac:dyDescent="0.3">
      <c r="A11" s="8" t="s">
        <v>55</v>
      </c>
      <c r="B11" s="9">
        <v>4.9400000000000004</v>
      </c>
      <c r="C11" s="10">
        <v>0.17</v>
      </c>
      <c r="D11" s="11">
        <v>60400</v>
      </c>
      <c r="E11" s="9">
        <v>4.78</v>
      </c>
      <c r="F11" s="12">
        <v>-0.94</v>
      </c>
      <c r="G11" s="3" t="s">
        <v>53</v>
      </c>
      <c r="H11" s="3">
        <v>3</v>
      </c>
    </row>
    <row r="12" spans="1:12" ht="19.95" customHeight="1" x14ac:dyDescent="0.3">
      <c r="A12" s="8" t="s">
        <v>56</v>
      </c>
      <c r="B12" s="9">
        <v>5.54</v>
      </c>
      <c r="C12" s="10">
        <v>0.17</v>
      </c>
      <c r="D12" s="11">
        <v>228000</v>
      </c>
      <c r="E12" s="9">
        <v>5.36</v>
      </c>
      <c r="F12" s="12">
        <v>-1.06</v>
      </c>
      <c r="G12" s="3" t="s">
        <v>53</v>
      </c>
      <c r="H12" s="3">
        <v>3</v>
      </c>
    </row>
    <row r="13" spans="1:12" ht="10.050000000000001" customHeight="1" x14ac:dyDescent="0.3"/>
    <row r="14" spans="1:12" ht="22.05" customHeight="1" x14ac:dyDescent="0.3">
      <c r="A14" s="56" t="s">
        <v>57</v>
      </c>
      <c r="B14" s="45"/>
      <c r="C14" s="45"/>
      <c r="D14" s="45"/>
      <c r="E14" s="45"/>
      <c r="F14" s="45"/>
      <c r="G14" s="45"/>
      <c r="H14" s="45"/>
    </row>
    <row r="15" spans="1:12" ht="36" customHeight="1" x14ac:dyDescent="0.3">
      <c r="A15" s="13" t="s">
        <v>58</v>
      </c>
      <c r="B15" s="13" t="s">
        <v>59</v>
      </c>
      <c r="C15" s="13" t="s">
        <v>60</v>
      </c>
      <c r="D15" s="13" t="s">
        <v>61</v>
      </c>
      <c r="E15" s="13" t="s">
        <v>62</v>
      </c>
      <c r="F15" s="13" t="s">
        <v>63</v>
      </c>
      <c r="G15" s="13" t="s">
        <v>64</v>
      </c>
      <c r="H15" s="13" t="s">
        <v>65</v>
      </c>
    </row>
    <row r="16" spans="1:12" ht="19.95" customHeight="1" x14ac:dyDescent="0.3">
      <c r="A16" s="14">
        <v>4.91</v>
      </c>
      <c r="B16" s="14">
        <v>4.78</v>
      </c>
      <c r="C16" s="15">
        <v>-0.88</v>
      </c>
      <c r="D16" s="15">
        <v>1.1100000000000001</v>
      </c>
      <c r="E16" s="3" t="s">
        <v>53</v>
      </c>
      <c r="F16" s="3" t="s">
        <v>53</v>
      </c>
      <c r="G16" s="16">
        <v>3</v>
      </c>
      <c r="H16" s="16">
        <v>3</v>
      </c>
    </row>
    <row r="17" spans="1:8" ht="10.050000000000001" customHeight="1" x14ac:dyDescent="0.3"/>
    <row r="18" spans="1:8" ht="30" customHeight="1" x14ac:dyDescent="0.3">
      <c r="A18" s="57" t="s">
        <v>66</v>
      </c>
      <c r="B18" s="45"/>
      <c r="C18" s="45"/>
      <c r="D18" s="45"/>
      <c r="E18" s="55" t="s">
        <v>67</v>
      </c>
      <c r="F18" s="45"/>
      <c r="G18" s="45"/>
      <c r="H18" s="45"/>
    </row>
    <row r="19" spans="1:8" ht="19.95" customHeight="1" x14ac:dyDescent="0.3">
      <c r="A19" s="13" t="s">
        <v>68</v>
      </c>
      <c r="B19" s="13" t="s">
        <v>69</v>
      </c>
      <c r="C19" s="13" t="s">
        <v>70</v>
      </c>
    </row>
    <row r="20" spans="1:8" ht="18" customHeight="1" x14ac:dyDescent="0.3">
      <c r="A20" s="17" t="s">
        <v>71</v>
      </c>
      <c r="B20" s="10">
        <v>2</v>
      </c>
      <c r="C20" s="3">
        <v>2</v>
      </c>
    </row>
    <row r="21" spans="1:8" ht="18" customHeight="1" x14ac:dyDescent="0.3">
      <c r="A21" s="17" t="s">
        <v>72</v>
      </c>
      <c r="B21" s="10">
        <v>3</v>
      </c>
      <c r="C21" s="3">
        <v>3</v>
      </c>
    </row>
    <row r="22" spans="1:8" ht="18" customHeight="1" x14ac:dyDescent="0.3">
      <c r="A22" s="17" t="s">
        <v>73</v>
      </c>
      <c r="B22" s="10">
        <v>3</v>
      </c>
      <c r="C22" s="3">
        <v>3</v>
      </c>
    </row>
    <row r="23" spans="1:8" ht="18" customHeight="1" x14ac:dyDescent="0.3">
      <c r="A23" s="17" t="s">
        <v>74</v>
      </c>
      <c r="B23" s="10">
        <v>3</v>
      </c>
      <c r="C23" s="3">
        <v>3</v>
      </c>
    </row>
    <row r="24" spans="1:8" ht="18" customHeight="1" x14ac:dyDescent="0.3">
      <c r="A24" s="17" t="s">
        <v>75</v>
      </c>
      <c r="B24" s="10">
        <v>3</v>
      </c>
      <c r="C24" s="3">
        <v>3</v>
      </c>
    </row>
    <row r="25" spans="1:8" ht="18" customHeight="1" x14ac:dyDescent="0.3">
      <c r="A25" s="17" t="s">
        <v>76</v>
      </c>
      <c r="B25" s="10">
        <v>3</v>
      </c>
      <c r="C25" s="3">
        <v>3</v>
      </c>
    </row>
    <row r="26" spans="1:8" ht="18" customHeight="1" x14ac:dyDescent="0.3">
      <c r="A26" s="17" t="s">
        <v>77</v>
      </c>
      <c r="B26" s="10">
        <v>3</v>
      </c>
      <c r="C26" s="3">
        <v>3</v>
      </c>
    </row>
    <row r="27" spans="1:8" ht="15.6" x14ac:dyDescent="0.3">
      <c r="A27" s="54" t="s">
        <v>78</v>
      </c>
      <c r="B27" s="18">
        <f>SUM(B20:B26)</f>
        <v>20</v>
      </c>
      <c r="C27" s="19">
        <f>SUM(C20:C26)</f>
        <v>20</v>
      </c>
    </row>
    <row r="28" spans="1:8" x14ac:dyDescent="0.3">
      <c r="A28" s="45"/>
    </row>
  </sheetData>
  <mergeCells count="21">
    <mergeCell ref="A1:L1"/>
    <mergeCell ref="A6:C6"/>
    <mergeCell ref="D6:F6"/>
    <mergeCell ref="A27:A28"/>
    <mergeCell ref="E18:H18"/>
    <mergeCell ref="A5:C5"/>
    <mergeCell ref="G5:I5"/>
    <mergeCell ref="D4:F4"/>
    <mergeCell ref="G4:I4"/>
    <mergeCell ref="A4:C4"/>
    <mergeCell ref="D5:F5"/>
    <mergeCell ref="A14:H14"/>
    <mergeCell ref="A18:D18"/>
    <mergeCell ref="J6:L6"/>
    <mergeCell ref="G6:I6"/>
    <mergeCell ref="A3:C3"/>
    <mergeCell ref="G3:I3"/>
    <mergeCell ref="J4:L4"/>
    <mergeCell ref="D3:F3"/>
    <mergeCell ref="J3:L3"/>
    <mergeCell ref="J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>
      <pane xSplit="1" ySplit="4" topLeftCell="B5" activePane="bottomRight" state="frozen"/>
      <selection pane="topRight"/>
      <selection pane="bottomLeft"/>
      <selection pane="bottomRight" activeCell="H22" sqref="H22"/>
    </sheetView>
  </sheetViews>
  <sheetFormatPr defaultRowHeight="14.4" x14ac:dyDescent="0.3"/>
  <cols>
    <col min="1" max="1" width="10" customWidth="1"/>
    <col min="2" max="2" width="15" customWidth="1"/>
    <col min="3" max="4" width="10" customWidth="1"/>
    <col min="5" max="5" width="15" customWidth="1"/>
    <col min="6" max="7" width="10" customWidth="1"/>
    <col min="8" max="8" width="15" customWidth="1"/>
    <col min="9" max="10" width="10" customWidth="1"/>
    <col min="11" max="11" width="15" customWidth="1"/>
    <col min="12" max="13" width="10" customWidth="1"/>
  </cols>
  <sheetData>
    <row r="1" spans="1:13" ht="25.95" customHeight="1" x14ac:dyDescent="0.3">
      <c r="A1" s="59" t="s">
        <v>79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6.05" customHeight="1" x14ac:dyDescent="0.3">
      <c r="A2" s="46" t="s">
        <v>80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6" customHeight="1" x14ac:dyDescent="0.3"/>
    <row r="4" spans="1:13" ht="37.950000000000003" customHeight="1" x14ac:dyDescent="0.3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</row>
    <row r="5" spans="1:13" ht="18" customHeight="1" x14ac:dyDescent="0.3">
      <c r="A5" s="20" t="s">
        <v>94</v>
      </c>
      <c r="B5" s="21">
        <v>1090</v>
      </c>
      <c r="C5" s="22">
        <v>3.04</v>
      </c>
      <c r="D5" s="23">
        <v>0.94</v>
      </c>
      <c r="E5" s="21">
        <v>160000</v>
      </c>
      <c r="F5" s="22">
        <v>5.2</v>
      </c>
      <c r="G5" s="23">
        <v>1.41</v>
      </c>
      <c r="H5" s="21">
        <v>181000</v>
      </c>
      <c r="I5" s="22">
        <v>5.26</v>
      </c>
      <c r="J5" s="23">
        <v>1.88</v>
      </c>
      <c r="K5" s="21">
        <v>468000</v>
      </c>
      <c r="L5" s="22">
        <v>5.67</v>
      </c>
      <c r="M5" s="23">
        <v>0.76</v>
      </c>
    </row>
    <row r="6" spans="1:13" ht="18" customHeight="1" x14ac:dyDescent="0.3">
      <c r="A6" s="24" t="s">
        <v>95</v>
      </c>
      <c r="B6" s="25">
        <v>697</v>
      </c>
      <c r="C6" s="26">
        <v>2.84</v>
      </c>
      <c r="D6" s="23">
        <v>-0.24</v>
      </c>
      <c r="E6" s="25">
        <v>59400</v>
      </c>
      <c r="F6" s="26">
        <v>4.7699999999999996</v>
      </c>
      <c r="G6" s="23">
        <v>-1.1200000000000001</v>
      </c>
      <c r="H6" s="25">
        <v>85800</v>
      </c>
      <c r="I6" s="26">
        <v>4.93</v>
      </c>
      <c r="J6" s="23">
        <v>-0.06</v>
      </c>
      <c r="K6" s="25">
        <v>316000</v>
      </c>
      <c r="L6" s="26">
        <v>5.5</v>
      </c>
      <c r="M6" s="23">
        <v>-0.24</v>
      </c>
    </row>
    <row r="7" spans="1:13" ht="18" customHeight="1" x14ac:dyDescent="0.3">
      <c r="A7" s="20" t="s">
        <v>96</v>
      </c>
      <c r="B7" s="21">
        <v>766</v>
      </c>
      <c r="C7" s="22">
        <v>2.88</v>
      </c>
      <c r="D7" s="23">
        <v>0</v>
      </c>
      <c r="E7" s="21">
        <v>95500</v>
      </c>
      <c r="F7" s="22">
        <v>4.9800000000000004</v>
      </c>
      <c r="G7" s="23">
        <v>0.12</v>
      </c>
      <c r="H7" s="21">
        <v>69100</v>
      </c>
      <c r="I7" s="22">
        <v>4.84</v>
      </c>
      <c r="J7" s="23">
        <v>-0.59</v>
      </c>
      <c r="K7" s="21">
        <v>275000</v>
      </c>
      <c r="L7" s="22">
        <v>5.44</v>
      </c>
      <c r="M7" s="23">
        <v>-0.59</v>
      </c>
    </row>
    <row r="8" spans="1:13" ht="18" customHeight="1" x14ac:dyDescent="0.3">
      <c r="A8" s="24" t="s">
        <v>97</v>
      </c>
      <c r="B8" s="25">
        <v>721</v>
      </c>
      <c r="C8" s="26">
        <v>2.86</v>
      </c>
      <c r="D8" s="23">
        <v>-0.12</v>
      </c>
      <c r="E8" s="25">
        <v>110000</v>
      </c>
      <c r="F8" s="26">
        <v>5.04</v>
      </c>
      <c r="G8" s="23">
        <v>0.47</v>
      </c>
      <c r="H8" s="25">
        <v>84800</v>
      </c>
      <c r="I8" s="26">
        <v>4.93</v>
      </c>
      <c r="J8" s="23">
        <v>-0.06</v>
      </c>
      <c r="K8" s="25">
        <v>408000</v>
      </c>
      <c r="L8" s="26">
        <v>5.61</v>
      </c>
      <c r="M8" s="23">
        <v>0.41</v>
      </c>
    </row>
    <row r="9" spans="1:13" ht="18" customHeight="1" x14ac:dyDescent="0.3">
      <c r="A9" s="20" t="s">
        <v>98</v>
      </c>
      <c r="B9" s="21">
        <v>1150</v>
      </c>
      <c r="C9" s="22">
        <v>3.06</v>
      </c>
      <c r="D9" s="23">
        <v>1.06</v>
      </c>
      <c r="E9" s="21">
        <v>122000</v>
      </c>
      <c r="F9" s="22">
        <v>5.09</v>
      </c>
      <c r="G9" s="23">
        <v>0.76</v>
      </c>
      <c r="H9" s="21">
        <v>64700</v>
      </c>
      <c r="I9" s="22">
        <v>4.8099999999999996</v>
      </c>
      <c r="J9" s="23">
        <v>-0.76</v>
      </c>
      <c r="K9" s="21">
        <v>362000</v>
      </c>
      <c r="L9" s="22">
        <v>5.56</v>
      </c>
      <c r="M9" s="23">
        <v>0.12</v>
      </c>
    </row>
    <row r="10" spans="1:13" ht="18" customHeight="1" x14ac:dyDescent="0.3">
      <c r="A10" s="24" t="s">
        <v>99</v>
      </c>
      <c r="B10" s="25">
        <v>72</v>
      </c>
      <c r="C10" s="26">
        <v>1.86</v>
      </c>
      <c r="D10" s="27">
        <v>-6</v>
      </c>
      <c r="E10" s="25">
        <v>140000</v>
      </c>
      <c r="F10" s="26">
        <v>5.15</v>
      </c>
      <c r="G10" s="23">
        <v>1.1200000000000001</v>
      </c>
      <c r="H10" s="25">
        <v>151000</v>
      </c>
      <c r="I10" s="26">
        <v>5.18</v>
      </c>
      <c r="J10" s="23">
        <v>1.41</v>
      </c>
      <c r="K10" s="25">
        <v>384000</v>
      </c>
      <c r="L10" s="26">
        <v>5.58</v>
      </c>
      <c r="M10" s="23">
        <v>0.24</v>
      </c>
    </row>
    <row r="11" spans="1:13" ht="18" customHeight="1" x14ac:dyDescent="0.3">
      <c r="A11" s="20" t="s">
        <v>100</v>
      </c>
      <c r="B11" s="21">
        <v>1140</v>
      </c>
      <c r="C11" s="22">
        <v>3.06</v>
      </c>
      <c r="D11" s="23">
        <v>1.06</v>
      </c>
      <c r="E11" s="21">
        <v>136000</v>
      </c>
      <c r="F11" s="22">
        <v>5.13</v>
      </c>
      <c r="G11" s="23">
        <v>1</v>
      </c>
      <c r="H11" s="21">
        <v>129000</v>
      </c>
      <c r="I11" s="22">
        <v>5.1100000000000003</v>
      </c>
      <c r="J11" s="23">
        <v>1</v>
      </c>
      <c r="K11" s="21">
        <v>445000</v>
      </c>
      <c r="L11" s="22">
        <v>5.65</v>
      </c>
      <c r="M11" s="23">
        <v>0.65</v>
      </c>
    </row>
    <row r="12" spans="1:13" ht="18" customHeight="1" x14ac:dyDescent="0.3">
      <c r="A12" s="24" t="s">
        <v>101</v>
      </c>
      <c r="B12" s="25">
        <v>785</v>
      </c>
      <c r="C12" s="26">
        <v>2.89</v>
      </c>
      <c r="D12" s="23">
        <v>0.06</v>
      </c>
      <c r="E12" s="25">
        <v>82300</v>
      </c>
      <c r="F12" s="26">
        <v>4.92</v>
      </c>
      <c r="G12" s="23">
        <v>-0.24</v>
      </c>
      <c r="H12" s="25">
        <v>87700</v>
      </c>
      <c r="I12" s="26">
        <v>4.9400000000000004</v>
      </c>
      <c r="J12" s="23">
        <v>0</v>
      </c>
      <c r="K12" s="25">
        <v>359000</v>
      </c>
      <c r="L12" s="26">
        <v>5.56</v>
      </c>
      <c r="M12" s="23">
        <v>0.12</v>
      </c>
    </row>
    <row r="13" spans="1:13" ht="18" customHeight="1" x14ac:dyDescent="0.3">
      <c r="A13" s="20" t="s">
        <v>102</v>
      </c>
      <c r="B13" s="21">
        <v>966</v>
      </c>
      <c r="C13" s="22">
        <v>2.98</v>
      </c>
      <c r="D13" s="23">
        <v>0.59</v>
      </c>
      <c r="E13" s="21">
        <v>109000</v>
      </c>
      <c r="F13" s="22">
        <v>5.03</v>
      </c>
      <c r="G13" s="23">
        <v>0.41</v>
      </c>
      <c r="H13" s="21">
        <v>97900</v>
      </c>
      <c r="I13" s="22">
        <v>4.99</v>
      </c>
      <c r="J13" s="23">
        <v>0.28999999999999998</v>
      </c>
      <c r="K13" s="21">
        <v>642000</v>
      </c>
      <c r="L13" s="22">
        <v>5.8</v>
      </c>
      <c r="M13" s="23">
        <v>1.53</v>
      </c>
    </row>
    <row r="14" spans="1:13" ht="18" customHeight="1" x14ac:dyDescent="0.3">
      <c r="A14" s="24" t="s">
        <v>103</v>
      </c>
      <c r="B14" s="25">
        <v>1040</v>
      </c>
      <c r="C14" s="26">
        <v>3.02</v>
      </c>
      <c r="D14" s="23">
        <v>0.82</v>
      </c>
      <c r="E14" s="25">
        <v>90000</v>
      </c>
      <c r="F14" s="26">
        <v>4.95</v>
      </c>
      <c r="G14" s="23">
        <v>-0.06</v>
      </c>
      <c r="H14" s="25">
        <v>104000</v>
      </c>
      <c r="I14" s="26">
        <v>5.0199999999999996</v>
      </c>
      <c r="J14" s="23">
        <v>0.47</v>
      </c>
      <c r="K14" s="25">
        <v>411000</v>
      </c>
      <c r="L14" s="26">
        <v>5.61</v>
      </c>
      <c r="M14" s="23">
        <v>0.41</v>
      </c>
    </row>
    <row r="15" spans="1:13" ht="18" customHeight="1" x14ac:dyDescent="0.3">
      <c r="A15" s="20" t="s">
        <v>104</v>
      </c>
      <c r="B15" s="21">
        <v>621</v>
      </c>
      <c r="C15" s="22">
        <v>2.79</v>
      </c>
      <c r="D15" s="23">
        <v>-0.53</v>
      </c>
      <c r="E15" s="21">
        <v>89200</v>
      </c>
      <c r="F15" s="22">
        <v>4.95</v>
      </c>
      <c r="G15" s="23">
        <v>-0.06</v>
      </c>
      <c r="H15" s="21">
        <v>100000</v>
      </c>
      <c r="I15" s="22">
        <v>5</v>
      </c>
      <c r="J15" s="23">
        <v>0.35</v>
      </c>
      <c r="K15" s="21">
        <v>251000</v>
      </c>
      <c r="L15" s="22">
        <v>5.4</v>
      </c>
      <c r="M15" s="23">
        <v>-0.82</v>
      </c>
    </row>
    <row r="16" spans="1:13" ht="18" customHeight="1" x14ac:dyDescent="0.3">
      <c r="A16" s="24" t="s">
        <v>105</v>
      </c>
      <c r="B16" s="25">
        <v>673</v>
      </c>
      <c r="C16" s="26">
        <v>2.83</v>
      </c>
      <c r="D16" s="23">
        <v>-0.28999999999999998</v>
      </c>
      <c r="E16" s="25">
        <v>128000</v>
      </c>
      <c r="F16" s="26">
        <v>5.1100000000000003</v>
      </c>
      <c r="G16" s="23">
        <v>0.88</v>
      </c>
      <c r="H16" s="25">
        <v>111000</v>
      </c>
      <c r="I16" s="26">
        <v>5.04</v>
      </c>
      <c r="J16" s="23">
        <v>0.59</v>
      </c>
      <c r="K16" s="25">
        <v>386000</v>
      </c>
      <c r="L16" s="26">
        <v>5.59</v>
      </c>
      <c r="M16" s="23">
        <v>0.28999999999999998</v>
      </c>
    </row>
    <row r="17" spans="1:13" ht="18" customHeight="1" x14ac:dyDescent="0.3">
      <c r="A17" s="20" t="s">
        <v>106</v>
      </c>
      <c r="B17" s="21">
        <v>583</v>
      </c>
      <c r="C17" s="22">
        <v>2.77</v>
      </c>
      <c r="D17" s="23">
        <v>-0.65</v>
      </c>
      <c r="E17" s="21">
        <v>50500</v>
      </c>
      <c r="F17" s="22">
        <v>4.7</v>
      </c>
      <c r="G17" s="23">
        <v>-1.53</v>
      </c>
      <c r="H17" s="21">
        <v>80600</v>
      </c>
      <c r="I17" s="22">
        <v>4.91</v>
      </c>
      <c r="J17" s="23">
        <v>-0.18</v>
      </c>
      <c r="K17" s="21">
        <v>341000</v>
      </c>
      <c r="L17" s="22">
        <v>5.53</v>
      </c>
      <c r="M17" s="23">
        <v>-0.06</v>
      </c>
    </row>
    <row r="18" spans="1:13" ht="18" customHeight="1" x14ac:dyDescent="0.3">
      <c r="A18" s="24" t="s">
        <v>107</v>
      </c>
      <c r="B18" s="25">
        <v>576</v>
      </c>
      <c r="C18" s="26">
        <v>2.76</v>
      </c>
      <c r="D18" s="23">
        <v>-0.71</v>
      </c>
      <c r="E18" s="25">
        <v>41400</v>
      </c>
      <c r="F18" s="26">
        <v>4.62</v>
      </c>
      <c r="G18" s="23">
        <v>-2</v>
      </c>
      <c r="H18" s="25">
        <v>60500</v>
      </c>
      <c r="I18" s="26">
        <v>4.78</v>
      </c>
      <c r="J18" s="23">
        <v>-0.94</v>
      </c>
      <c r="K18" s="25">
        <v>234000</v>
      </c>
      <c r="L18" s="26">
        <v>5.37</v>
      </c>
      <c r="M18" s="23">
        <v>-1</v>
      </c>
    </row>
    <row r="19" spans="1:13" ht="18" customHeight="1" x14ac:dyDescent="0.3">
      <c r="A19" s="20" t="s">
        <v>108</v>
      </c>
      <c r="B19" s="21">
        <v>406</v>
      </c>
      <c r="C19" s="22">
        <v>2.61</v>
      </c>
      <c r="D19" s="23">
        <v>-1.59</v>
      </c>
      <c r="E19" s="21">
        <v>92000</v>
      </c>
      <c r="F19" s="22">
        <v>4.96</v>
      </c>
      <c r="G19" s="23">
        <v>0</v>
      </c>
      <c r="H19" s="21">
        <v>68500</v>
      </c>
      <c r="I19" s="22">
        <v>4.84</v>
      </c>
      <c r="J19" s="23">
        <v>-0.59</v>
      </c>
      <c r="K19" s="21">
        <v>306000</v>
      </c>
      <c r="L19" s="22">
        <v>5.49</v>
      </c>
      <c r="M19" s="23">
        <v>-0.28999999999999998</v>
      </c>
    </row>
    <row r="20" spans="1:13" ht="18" customHeight="1" x14ac:dyDescent="0.3">
      <c r="A20" s="24" t="s">
        <v>109</v>
      </c>
      <c r="B20" s="25">
        <v>367</v>
      </c>
      <c r="C20" s="26">
        <v>2.56</v>
      </c>
      <c r="D20" s="23">
        <v>-1.88</v>
      </c>
      <c r="E20" s="25">
        <v>51600</v>
      </c>
      <c r="F20" s="26">
        <v>4.71</v>
      </c>
      <c r="G20" s="23">
        <v>-1.47</v>
      </c>
      <c r="H20" s="25">
        <v>57600</v>
      </c>
      <c r="I20" s="26">
        <v>4.76</v>
      </c>
      <c r="J20" s="23">
        <v>-1.06</v>
      </c>
      <c r="K20" s="25">
        <v>333000</v>
      </c>
      <c r="L20" s="26">
        <v>5.52</v>
      </c>
      <c r="M20" s="23">
        <v>-0.12</v>
      </c>
    </row>
    <row r="21" spans="1:13" ht="18" customHeight="1" x14ac:dyDescent="0.3">
      <c r="A21" s="20" t="s">
        <v>110</v>
      </c>
      <c r="B21" s="21">
        <v>945</v>
      </c>
      <c r="C21" s="22">
        <v>2.98</v>
      </c>
      <c r="D21" s="23">
        <v>0.59</v>
      </c>
      <c r="E21" s="21">
        <v>77000</v>
      </c>
      <c r="F21" s="22">
        <v>4.8899999999999997</v>
      </c>
      <c r="G21" s="23">
        <v>-0.41</v>
      </c>
      <c r="H21" s="21">
        <v>60300</v>
      </c>
      <c r="I21" s="22">
        <v>4.78</v>
      </c>
      <c r="J21" s="23">
        <v>-0.94</v>
      </c>
      <c r="K21" s="21">
        <v>330000</v>
      </c>
      <c r="L21" s="22">
        <v>5.52</v>
      </c>
      <c r="M21" s="23">
        <v>-0.12</v>
      </c>
    </row>
    <row r="22" spans="1:13" ht="18" customHeight="1" x14ac:dyDescent="0.3">
      <c r="A22" s="24" t="s">
        <v>111</v>
      </c>
      <c r="B22" s="25">
        <v>565</v>
      </c>
      <c r="C22" s="26">
        <v>2.75</v>
      </c>
      <c r="D22" s="23">
        <v>-0.76</v>
      </c>
      <c r="E22" s="25">
        <v>73800</v>
      </c>
      <c r="F22" s="26">
        <v>4.87</v>
      </c>
      <c r="G22" s="23">
        <v>-0.53</v>
      </c>
      <c r="H22" s="25">
        <v>78000</v>
      </c>
      <c r="I22" s="26">
        <v>4.8899999999999997</v>
      </c>
      <c r="J22" s="23">
        <v>-0.28999999999999998</v>
      </c>
      <c r="K22" s="25">
        <v>263000</v>
      </c>
      <c r="L22" s="26">
        <v>5.42</v>
      </c>
      <c r="M22" s="23">
        <v>-0.71</v>
      </c>
    </row>
    <row r="23" spans="1:13" ht="18" customHeight="1" x14ac:dyDescent="0.3">
      <c r="A23" s="20" t="s">
        <v>112</v>
      </c>
      <c r="B23" s="21">
        <v>760</v>
      </c>
      <c r="C23" s="22">
        <v>2.88</v>
      </c>
      <c r="D23" s="23">
        <v>0</v>
      </c>
      <c r="E23" s="21">
        <v>91100</v>
      </c>
      <c r="F23" s="22">
        <v>4.96</v>
      </c>
      <c r="G23" s="23">
        <v>0</v>
      </c>
      <c r="H23" s="21">
        <v>110000</v>
      </c>
      <c r="I23" s="22">
        <v>5.04</v>
      </c>
      <c r="J23" s="23">
        <v>0.59</v>
      </c>
      <c r="K23" s="21">
        <v>343000</v>
      </c>
      <c r="L23" s="22">
        <v>5.54</v>
      </c>
      <c r="M23" s="23">
        <v>0</v>
      </c>
    </row>
    <row r="24" spans="1:13" ht="18" customHeight="1" x14ac:dyDescent="0.3">
      <c r="A24" s="62" t="s">
        <v>33</v>
      </c>
      <c r="B24" s="63">
        <v>755</v>
      </c>
      <c r="C24" s="64">
        <v>2.88</v>
      </c>
      <c r="D24" s="65">
        <v>0</v>
      </c>
      <c r="E24" s="63">
        <v>81100</v>
      </c>
      <c r="F24" s="64">
        <v>4.91</v>
      </c>
      <c r="G24" s="65">
        <v>-0.28999999999999998</v>
      </c>
      <c r="H24" s="63">
        <v>60400</v>
      </c>
      <c r="I24" s="64">
        <v>4.78</v>
      </c>
      <c r="J24" s="65">
        <v>-0.94</v>
      </c>
      <c r="K24" s="63">
        <v>228000</v>
      </c>
      <c r="L24" s="64">
        <v>5.36</v>
      </c>
      <c r="M24" s="65">
        <v>-1.06</v>
      </c>
    </row>
    <row r="25" spans="1:13" ht="18" customHeight="1" x14ac:dyDescent="0.3">
      <c r="A25" s="20" t="s">
        <v>113</v>
      </c>
      <c r="B25" s="21">
        <v>988</v>
      </c>
      <c r="C25" s="22">
        <v>2.99</v>
      </c>
      <c r="D25" s="23">
        <v>0.65</v>
      </c>
      <c r="E25" s="21">
        <v>143000</v>
      </c>
      <c r="F25" s="22">
        <v>5.16</v>
      </c>
      <c r="G25" s="23">
        <v>1.18</v>
      </c>
      <c r="H25" s="21">
        <v>102000</v>
      </c>
      <c r="I25" s="22">
        <v>5.01</v>
      </c>
      <c r="J25" s="23">
        <v>0.41</v>
      </c>
      <c r="K25" s="21">
        <v>406000</v>
      </c>
      <c r="L25" s="22">
        <v>5.61</v>
      </c>
      <c r="M25" s="23">
        <v>0.41</v>
      </c>
    </row>
    <row r="26" spans="1:13" ht="7.95" customHeight="1" x14ac:dyDescent="0.3"/>
    <row r="27" spans="1:13" ht="18" customHeight="1" x14ac:dyDescent="0.3">
      <c r="A27" s="28" t="s">
        <v>114</v>
      </c>
      <c r="C27" s="29">
        <v>2.88</v>
      </c>
      <c r="F27" s="29">
        <v>4.96</v>
      </c>
      <c r="I27" s="29">
        <v>4.9400000000000004</v>
      </c>
      <c r="L27" s="29">
        <v>5.54</v>
      </c>
    </row>
    <row r="28" spans="1:13" ht="16.05" customHeight="1" x14ac:dyDescent="0.3">
      <c r="A28" s="60" t="s">
        <v>115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</sheetData>
  <mergeCells count="3">
    <mergeCell ref="A2:M2"/>
    <mergeCell ref="A1:M1"/>
    <mergeCell ref="A28:M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abSelected="1" workbookViewId="0">
      <selection sqref="A1:F1"/>
    </sheetView>
  </sheetViews>
  <sheetFormatPr defaultRowHeight="14.4" x14ac:dyDescent="0.3"/>
  <cols>
    <col min="1" max="1" width="22" customWidth="1"/>
    <col min="2" max="2" width="36" customWidth="1"/>
    <col min="3" max="3" width="50" customWidth="1"/>
    <col min="4" max="6" width="14" customWidth="1"/>
  </cols>
  <sheetData>
    <row r="1" spans="1:6" ht="25.95" customHeight="1" x14ac:dyDescent="0.3">
      <c r="A1" s="59" t="s">
        <v>116</v>
      </c>
      <c r="B1" s="45"/>
      <c r="C1" s="45"/>
      <c r="D1" s="45"/>
      <c r="E1" s="45"/>
      <c r="F1" s="45"/>
    </row>
    <row r="3" spans="1:6" ht="19.95" customHeight="1" x14ac:dyDescent="0.3">
      <c r="A3" s="56" t="s">
        <v>117</v>
      </c>
      <c r="B3" s="45"/>
      <c r="C3" s="45"/>
      <c r="D3" s="45"/>
      <c r="E3" s="45"/>
      <c r="F3" s="45"/>
    </row>
    <row r="4" spans="1:6" ht="19.95" customHeight="1" x14ac:dyDescent="0.3">
      <c r="A4" s="30" t="s">
        <v>118</v>
      </c>
      <c r="B4" s="30" t="s">
        <v>119</v>
      </c>
      <c r="C4" s="30" t="s">
        <v>120</v>
      </c>
      <c r="D4" s="30" t="s">
        <v>121</v>
      </c>
    </row>
    <row r="5" spans="1:6" ht="18" customHeight="1" x14ac:dyDescent="0.3">
      <c r="A5" s="31" t="s">
        <v>122</v>
      </c>
      <c r="B5" s="31" t="s">
        <v>123</v>
      </c>
      <c r="C5" s="31" t="s">
        <v>124</v>
      </c>
      <c r="D5" s="32" t="s">
        <v>125</v>
      </c>
    </row>
    <row r="6" spans="1:6" ht="18" customHeight="1" x14ac:dyDescent="0.3">
      <c r="A6" s="33" t="s">
        <v>126</v>
      </c>
      <c r="B6" s="33" t="s">
        <v>127</v>
      </c>
      <c r="C6" s="33" t="s">
        <v>128</v>
      </c>
      <c r="D6" s="34" t="s">
        <v>129</v>
      </c>
    </row>
    <row r="7" spans="1:6" ht="18" customHeight="1" x14ac:dyDescent="0.3">
      <c r="A7" s="35" t="s">
        <v>130</v>
      </c>
      <c r="B7" s="35" t="s">
        <v>131</v>
      </c>
      <c r="C7" s="35" t="s">
        <v>132</v>
      </c>
      <c r="D7" s="36" t="s">
        <v>133</v>
      </c>
    </row>
    <row r="8" spans="1:6" ht="18" customHeight="1" x14ac:dyDescent="0.3">
      <c r="A8" s="35" t="s">
        <v>134</v>
      </c>
      <c r="B8" s="35" t="s">
        <v>135</v>
      </c>
      <c r="C8" s="35" t="s">
        <v>132</v>
      </c>
      <c r="D8" s="36" t="s">
        <v>136</v>
      </c>
    </row>
    <row r="9" spans="1:6" ht="7.95" customHeight="1" x14ac:dyDescent="0.3"/>
    <row r="10" spans="1:6" ht="19.95" customHeight="1" x14ac:dyDescent="0.3">
      <c r="A10" s="56" t="s">
        <v>137</v>
      </c>
      <c r="B10" s="45"/>
      <c r="C10" s="45"/>
      <c r="D10" s="45"/>
      <c r="E10" s="45"/>
      <c r="F10" s="45"/>
    </row>
    <row r="11" spans="1:6" ht="19.95" customHeight="1" x14ac:dyDescent="0.3">
      <c r="A11" s="30" t="s">
        <v>138</v>
      </c>
      <c r="B11" s="30" t="s">
        <v>118</v>
      </c>
      <c r="C11" s="30" t="s">
        <v>119</v>
      </c>
      <c r="D11" s="30" t="s">
        <v>121</v>
      </c>
    </row>
    <row r="12" spans="1:6" ht="18" customHeight="1" x14ac:dyDescent="0.3">
      <c r="A12" s="31" t="s">
        <v>139</v>
      </c>
      <c r="B12" s="31" t="s">
        <v>122</v>
      </c>
      <c r="C12" s="31" t="s">
        <v>140</v>
      </c>
      <c r="D12" s="31" t="s">
        <v>141</v>
      </c>
    </row>
    <row r="13" spans="1:6" ht="18" customHeight="1" x14ac:dyDescent="0.3">
      <c r="A13" s="33" t="s">
        <v>139</v>
      </c>
      <c r="B13" s="33" t="s">
        <v>126</v>
      </c>
      <c r="C13" s="33" t="s">
        <v>142</v>
      </c>
      <c r="D13" s="33" t="s">
        <v>143</v>
      </c>
    </row>
    <row r="14" spans="1:6" ht="18" customHeight="1" x14ac:dyDescent="0.3">
      <c r="A14" s="35" t="s">
        <v>139</v>
      </c>
      <c r="B14" s="35" t="s">
        <v>130</v>
      </c>
      <c r="C14" s="35" t="s">
        <v>144</v>
      </c>
      <c r="D14" s="35" t="s">
        <v>145</v>
      </c>
    </row>
    <row r="15" spans="1:6" ht="18" customHeight="1" x14ac:dyDescent="0.3">
      <c r="A15" s="31" t="s">
        <v>146</v>
      </c>
      <c r="B15" s="31" t="s">
        <v>122</v>
      </c>
      <c r="C15" s="31" t="s">
        <v>140</v>
      </c>
      <c r="D15" s="31" t="s">
        <v>141</v>
      </c>
    </row>
    <row r="16" spans="1:6" ht="18" customHeight="1" x14ac:dyDescent="0.3">
      <c r="A16" s="33" t="s">
        <v>146</v>
      </c>
      <c r="B16" s="33" t="s">
        <v>126</v>
      </c>
      <c r="C16" s="33" t="s">
        <v>142</v>
      </c>
      <c r="D16" s="33" t="s">
        <v>143</v>
      </c>
    </row>
    <row r="17" spans="1:6" ht="18" customHeight="1" x14ac:dyDescent="0.3">
      <c r="A17" s="35" t="s">
        <v>146</v>
      </c>
      <c r="B17" s="35" t="s">
        <v>130</v>
      </c>
      <c r="C17" s="35" t="s">
        <v>144</v>
      </c>
      <c r="D17" s="35" t="s">
        <v>145</v>
      </c>
    </row>
    <row r="18" spans="1:6" ht="7.95" customHeight="1" x14ac:dyDescent="0.3"/>
    <row r="19" spans="1:6" ht="19.95" customHeight="1" x14ac:dyDescent="0.3">
      <c r="A19" s="56" t="s">
        <v>147</v>
      </c>
      <c r="B19" s="45"/>
      <c r="C19" s="45"/>
      <c r="D19" s="45"/>
      <c r="E19" s="45"/>
      <c r="F19" s="45"/>
    </row>
    <row r="20" spans="1:6" ht="19.95" customHeight="1" x14ac:dyDescent="0.3">
      <c r="A20" s="30" t="s">
        <v>121</v>
      </c>
      <c r="B20" s="30" t="s">
        <v>148</v>
      </c>
      <c r="C20" s="30" t="s">
        <v>149</v>
      </c>
    </row>
    <row r="21" spans="1:6" ht="22.05" customHeight="1" x14ac:dyDescent="0.3">
      <c r="A21" s="4" t="s">
        <v>150</v>
      </c>
      <c r="B21" s="4" t="s">
        <v>151</v>
      </c>
      <c r="C21" s="37" t="s">
        <v>152</v>
      </c>
    </row>
    <row r="22" spans="1:6" ht="22.05" customHeight="1" x14ac:dyDescent="0.3">
      <c r="A22" s="38" t="s">
        <v>153</v>
      </c>
      <c r="B22" s="38" t="s">
        <v>154</v>
      </c>
      <c r="C22" s="39" t="s">
        <v>155</v>
      </c>
    </row>
    <row r="23" spans="1:6" ht="22.05" customHeight="1" x14ac:dyDescent="0.3">
      <c r="A23" s="40" t="s">
        <v>156</v>
      </c>
      <c r="B23" s="40" t="s">
        <v>157</v>
      </c>
      <c r="C23" s="41" t="s">
        <v>158</v>
      </c>
    </row>
    <row r="24" spans="1:6" ht="7.95" customHeight="1" x14ac:dyDescent="0.3"/>
    <row r="25" spans="1:6" ht="19.95" customHeight="1" x14ac:dyDescent="0.3">
      <c r="A25" s="56" t="s">
        <v>159</v>
      </c>
      <c r="B25" s="45"/>
      <c r="C25" s="45"/>
      <c r="D25" s="45"/>
      <c r="E25" s="45"/>
      <c r="F25" s="45"/>
    </row>
    <row r="26" spans="1:6" ht="18" customHeight="1" x14ac:dyDescent="0.3">
      <c r="A26" s="42" t="s">
        <v>160</v>
      </c>
      <c r="B26" s="43" t="s">
        <v>161</v>
      </c>
      <c r="C26" s="61" t="s">
        <v>162</v>
      </c>
      <c r="D26" s="45"/>
      <c r="E26" s="45"/>
      <c r="F26" s="45"/>
    </row>
    <row r="27" spans="1:6" ht="18" customHeight="1" x14ac:dyDescent="0.3">
      <c r="A27" s="42" t="s">
        <v>163</v>
      </c>
      <c r="B27" s="43" t="s">
        <v>164</v>
      </c>
      <c r="C27" s="61" t="s">
        <v>165</v>
      </c>
      <c r="D27" s="45"/>
      <c r="E27" s="45"/>
      <c r="F27" s="45"/>
    </row>
    <row r="28" spans="1:6" ht="18" customHeight="1" x14ac:dyDescent="0.3">
      <c r="A28" s="42" t="s">
        <v>166</v>
      </c>
      <c r="B28" s="43" t="s">
        <v>167</v>
      </c>
      <c r="C28" s="61" t="s">
        <v>168</v>
      </c>
      <c r="D28" s="45"/>
      <c r="E28" s="45"/>
      <c r="F28" s="45"/>
    </row>
  </sheetData>
  <mergeCells count="8">
    <mergeCell ref="C28:F28"/>
    <mergeCell ref="A25:F25"/>
    <mergeCell ref="A10:F10"/>
    <mergeCell ref="A19:F19"/>
    <mergeCell ref="A1:F1"/>
    <mergeCell ref="C26:F26"/>
    <mergeCell ref="C27:F2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📊 สรุปภาพรวม EQA</vt:lpstr>
      <vt:lpstr>📋 ครั้งที่ 1-2569</vt:lpstr>
      <vt:lpstr>📋 ผลทุกห้อง ครั้ง 1-2569</vt:lpstr>
      <vt:lpstr>📖 เกณฑ์การแปลผล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LT</cp:lastModifiedBy>
  <dcterms:created xsi:type="dcterms:W3CDTF">2026-06-09T09:02:59Z</dcterms:created>
  <dcterms:modified xsi:type="dcterms:W3CDTF">2026-06-09T09:39:49Z</dcterms:modified>
</cp:coreProperties>
</file>